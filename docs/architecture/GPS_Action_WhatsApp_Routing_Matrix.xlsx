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utes" sheetId="1" state="visible" r:id="rId3"/>
    <sheet name="Matrix" sheetId="2" state="visible" r:id="rId4"/>
    <sheet name="Questions" sheetId="3" state="visible" r:id="rId5"/>
    <sheet name="Legend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<sst xmlns="http://schemas.openxmlformats.org/spreadsheetml/2006/main" count="678" uniqueCount="391">
  <si>
    <t xml:space="preserve">GPS Action — WhatsApp routes (registry)</t>
  </si>
  <si>
    <t xml:space="preserve">Each row = one WhatsApp destination. Describes the route's purpose, rules, owner. Yellow cells = needs your confirmation. 'Your comments' column on the far right. The Matrix sheet is for the actual post-type → group routing.</t>
  </si>
  <si>
    <t xml:space="preserve">#</t>
  </si>
  <si>
    <t xml:space="preserve">WhatsApp group</t>
  </si>
  <si>
    <t xml:space="preserve">Purpose (GPS-internal)</t>
  </si>
  <si>
    <t xml:space="preserve">Scope</t>
  </si>
  <si>
    <t xml:space="preserve">Type</t>
  </si>
  <si>
    <t xml:space="preserve">Post types accepted</t>
  </si>
  <si>
    <t xml:space="preserve">Region filter</t>
  </si>
  <si>
    <t xml:space="preserve">Topic tags</t>
  </si>
  <si>
    <t xml:space="preserve">Verdict requirement</t>
  </si>
  <si>
    <t xml:space="preserve">Visibility of route</t>
  </si>
  <si>
    <t xml:space="preserve">Restricted dispatch?</t>
  </si>
  <si>
    <t xml:space="preserve">Message template ID</t>
  </si>
  <si>
    <t xml:space="preserve">Owner / admin team</t>
  </si>
  <si>
    <t xml:space="preserve">Active</t>
  </si>
  <si>
    <t xml:space="preserve">Notes &amp; dispatcher guidance</t>
  </si>
  <si>
    <t xml:space="preserve">Your comments ↓</t>
  </si>
  <si>
    <t xml:space="preserve">Welcome</t>
  </si>
  <si>
    <t xml:space="preserve">Holding space for new enrolees awaiting vetting. Members are onboarded in or adjacent to this group.</t>
  </si>
  <si>
    <t xml:space="preserve">National</t>
  </si>
  <si>
    <t xml:space="preserve">Group</t>
  </si>
  <si>
    <t xml:space="preserve">— (not a dispatch target)</t>
  </si>
  <si>
    <t xml:space="preserve">—</t>
  </si>
  <si>
    <t xml:space="preserve">Vetters only</t>
  </si>
  <si>
    <t xml:space="preserve">n/a</t>
  </si>
  <si>
    <t xml:space="preserve">Vetting team</t>
  </si>
  <si>
    <t xml:space="preserve">Yes</t>
  </si>
  <si>
    <t xml:space="preserve">Not a dispatch route. Vetting workflow in GPS Action replaces this group over time, but listed for context.</t>
  </si>
  <si>
    <t xml:space="preserve">Action Network!</t>
  </si>
  <si>
    <t xml:space="preserve">Primary broadcast of all GPS Actions — the headline 'this is happening, act now' channel.</t>
  </si>
  <si>
    <t xml:space="preserve">Action (urgent and standard)</t>
  </si>
  <si>
    <t xml:space="preserve">All regions (nat'l broadcast)</t>
  </si>
  <si>
    <t xml:space="preserve">All topics</t>
  </si>
  <si>
    <t xml:space="preserve">All members</t>
  </si>
  <si>
    <t xml:space="preserve">No</t>
  </si>
  <si>
    <t xml:space="preserve">TPL-ACTION-STD</t>
  </si>
  <si>
    <t xml:space="preserve">Director + coordinators</t>
  </si>
  <si>
    <t xml:space="preserve">The default target for most Action posts.</t>
  </si>
  <si>
    <t xml:space="preserve">VOA</t>
  </si>
  <si>
    <t xml:space="preserve">Victims of Antisemitism support group. Peer support, sharing experiences, practical help.</t>
  </si>
  <si>
    <t xml:space="preserve">Report (incident) · Seeking help · Community (support)</t>
  </si>
  <si>
    <t xml:space="preserve">All regions</t>
  </si>
  <si>
    <t xml:space="preserve">Antisemitism · incidents · support</t>
  </si>
  <si>
    <t xml:space="preserve">VOA members only</t>
  </si>
  <si>
    <t xml:space="preserve">Yes — VOA team</t>
  </si>
  <si>
    <t xml:space="preserve">TPL-VOA</t>
  </si>
  <si>
    <t xml:space="preserve">VOA coordinator</t>
  </si>
  <si>
    <t xml:space="preserve">Sensitive. Incident reports from victims. Careful dispatch; do not amplify outside VOA boundary.</t>
  </si>
  <si>
    <t xml:space="preserve">NEW TECH</t>
  </si>
  <si>
    <t xml:space="preserve">Unclear — platform feedback group? Or tech-topic news?</t>
  </si>
  <si>
    <t xml:space="preserve">?</t>
  </si>
  <si>
    <t xml:space="preserve">NEEDS CLARIFICATION: is this a feedback group for the GPS platform/tech, or a topic channel covering tech/surveillance/Big Tech?</t>
  </si>
  <si>
    <t xml:space="preserve">Network Tick or Cross</t>
  </si>
  <si>
    <t xml:space="preserve">The ✅ / ❌ Boost-or-Remove channel for social media content. A designated team actions these on the origin platforms.</t>
  </si>
  <si>
    <t xml:space="preserve">Action with social-media embed AND Boost/Remove verdict</t>
  </si>
  <si>
    <t xml:space="preserve">Social media · any topic</t>
  </si>
  <si>
    <t xml:space="preserve">Boost OR Remove (required)</t>
  </si>
  <si>
    <t xml:space="preserve">TPL-TICK-CROSS</t>
  </si>
  <si>
    <t xml:space="preserve">Boost/Remove team</t>
  </si>
  <si>
    <t xml:space="preserve">Specific format: ✅ for boost, ❌❌❌❌❌❌❌ for remove, plus URL.</t>
  </si>
  <si>
    <t xml:space="preserve">Coffee</t>
  </si>
  <si>
    <t xml:space="preserve">Likely casual / social / off-topic chat.</t>
  </si>
  <si>
    <t xml:space="preserve">NEEDS CLARIFICATION: likely not a dispatch target — a casual chat group.</t>
  </si>
  <si>
    <t xml:space="preserve">Volunteers Supergroup</t>
  </si>
  <si>
    <t xml:space="preserve">Broad membership chat — largest member channel for general notices, volunteering calls, updates.</t>
  </si>
  <si>
    <t xml:space="preserve">Community · Coordination · opportunities</t>
  </si>
  <si>
    <t xml:space="preserve">TPL-VOL-SUPER</t>
  </si>
  <si>
    <t xml:space="preserve">Very large audience. Dispatch only things that warrant wide reach.</t>
  </si>
  <si>
    <t xml:space="preserve">Social Media</t>
  </si>
  <si>
    <t xml:space="preserve">Team that runs GPS's official social accounts and coordinates posting.</t>
  </si>
  <si>
    <t xml:space="preserve">Team</t>
  </si>
  <si>
    <t xml:space="preserve">Action (Post-your-own or Boost) · Coordination · assets</t>
  </si>
  <si>
    <t xml:space="preserve">Social media · any topic for amplification</t>
  </si>
  <si>
    <t xml:space="preserve">Social Media team</t>
  </si>
  <si>
    <t xml:space="preserve">Yes — team</t>
  </si>
  <si>
    <t xml:space="preserve">TPL-SOCIAL</t>
  </si>
  <si>
    <t xml:space="preserve">Social Media lead</t>
  </si>
  <si>
    <t xml:space="preserve">Team coordination about GPS's OWN social accounts. Different from Tick or Cross (targets others' posts).</t>
  </si>
  <si>
    <t xml:space="preserve">General &amp; new info &amp; ideas</t>
  </si>
  <si>
    <t xml:space="preserve">Catch-all for notable news, emerging ideas, cross-cutting info.</t>
  </si>
  <si>
    <t xml:space="preserve">Seeking info · Community · Coordination</t>
  </si>
  <si>
    <t xml:space="preserve">TPL-GENERAL</t>
  </si>
  <si>
    <t xml:space="preserve">Coordinators</t>
  </si>
  <si>
    <t xml:space="preserve">Soft-catchall. For posts that don't clearly fit elsewhere.</t>
  </si>
  <si>
    <t xml:space="preserve">NEWS – WRITTEN &amp; POSTED</t>
  </si>
  <si>
    <t xml:space="preserve">Record of finished outputs — articles/letters placed or published.</t>
  </si>
  <si>
    <t xml:space="preserve">Outcome (writers) · confirmed publications</t>
  </si>
  <si>
    <t xml:space="preserve">Media · writing</t>
  </si>
  <si>
    <t xml:space="preserve">Writers team</t>
  </si>
  <si>
    <t xml:space="preserve">Yes — writers</t>
  </si>
  <si>
    <t xml:space="preserve">TPL-NEWS-POSTED</t>
  </si>
  <si>
    <t xml:space="preserve">Newswriters lead</t>
  </si>
  <si>
    <t xml:space="preserve">Celebrates completed writing. Dispatched from Outcome posts tagged Writers.</t>
  </si>
  <si>
    <t xml:space="preserve">NEWS – WRITERS ADVICE</t>
  </si>
  <si>
    <t xml:space="preserve">Writers-team coordination — drafts, advice, peer review.</t>
  </si>
  <si>
    <t xml:space="preserve">Seeking resources · Seeking suggestions · Coordination</t>
  </si>
  <si>
    <t xml:space="preserve">TPL-NEWS-ADVICE</t>
  </si>
  <si>
    <t xml:space="preserve">For pre-publication work — feedback, drafts, advice.</t>
  </si>
  <si>
    <t xml:space="preserve">NEWS – ALERTS ONLY</t>
  </si>
  <si>
    <t xml:space="preserve">Broadcast alerts for writers: factual issues, op-eds needing response, urgent media triggers.</t>
  </si>
  <si>
    <t xml:space="preserve">Action (media-response) · Alert-type posts</t>
  </si>
  <si>
    <t xml:space="preserve">Media · newspapers</t>
  </si>
  <si>
    <t xml:space="preserve">TPL-NEWS-ALERTS</t>
  </si>
  <si>
    <t xml:space="preserve">One-way alerts. Recipients expected to act (letter to editor, op-ed).</t>
  </si>
  <si>
    <t xml:space="preserve">Tower Hamlets</t>
  </si>
  <si>
    <t xml:space="preserve">Regional group — Tower Hamlets (East London borough with significant local activity).</t>
  </si>
  <si>
    <t xml:space="preserve">Regional</t>
  </si>
  <si>
    <t xml:space="preserve">Action · Coordination · Events · Community (regional)</t>
  </si>
  <si>
    <t xml:space="preserve">Tower Hamlets (London)</t>
  </si>
  <si>
    <t xml:space="preserve">All members in region</t>
  </si>
  <si>
    <t xml:space="preserve">TPL-REGION</t>
  </si>
  <si>
    <t xml:space="preserve">Tower Hamlets coordinator</t>
  </si>
  <si>
    <t xml:space="preserve">Auto-matches when post region = Tower Hamlets.</t>
  </si>
  <si>
    <t xml:space="preserve">Bristol</t>
  </si>
  <si>
    <t xml:space="preserve">Regional group — Bristol.</t>
  </si>
  <si>
    <t xml:space="preserve">Bristol coordinator</t>
  </si>
  <si>
    <t xml:space="preserve">Auto-matches when post region = Bristol.</t>
  </si>
  <si>
    <t xml:space="preserve">LA Team</t>
  </si>
  <si>
    <t xml:space="preserve">Local Authority response team — BDS motions, council complaints, councillor outreach.</t>
  </si>
  <si>
    <t xml:space="preserve">Action (councillor-email) · Seeking suggestions · Coordination</t>
  </si>
  <si>
    <t xml:space="preserve">Councils · BDS · local authority</t>
  </si>
  <si>
    <t xml:space="preserve">LA Team members</t>
  </si>
  <si>
    <t xml:space="preserve">Yes — LA team</t>
  </si>
  <si>
    <t xml:space="preserve">TPL-LA</t>
  </si>
  <si>
    <t xml:space="preserve">LA Team lead</t>
  </si>
  <si>
    <t xml:space="preserve">Dedicated team for council-level work. Most council-tagged Action posts route here.</t>
  </si>
  <si>
    <t xml:space="preserve">BDS</t>
  </si>
  <si>
    <t xml:space="preserve">Topic-specific — BDS campaigns, council motions, academic/cultural boycott responses.</t>
  </si>
  <si>
    <t xml:space="preserve">Topic</t>
  </si>
  <si>
    <t xml:space="preserve">Action · Seeking · Outcome (BDS-related)</t>
  </si>
  <si>
    <t xml:space="preserve">BDS (all BDS-tagged posts)</t>
  </si>
  <si>
    <t xml:space="preserve">Members interested in BDS</t>
  </si>
  <si>
    <t xml:space="preserve">TPL-BDS</t>
  </si>
  <si>
    <t xml:space="preserve">Topic channel — dispatches any BDS-tagged post. Parallel routing with LA Team + region.</t>
  </si>
  <si>
    <t xml:space="preserve">Local Radio Monitor</t>
  </si>
  <si>
    <t xml:space="preserve">Coordination for phone-in responses to local/national talk radio.</t>
  </si>
  <si>
    <t xml:space="preserve">Action (phone/call-in) · Status banner triggers</t>
  </si>
  <si>
    <t xml:space="preserve">Media · broadcast · radio</t>
  </si>
  <si>
    <t xml:space="preserve">Radio monitors team</t>
  </si>
  <si>
    <t xml:space="preserve">Yes — radio team</t>
  </si>
  <si>
    <t xml:space="preserve">TPL-RADIO</t>
  </si>
  <si>
    <t xml:space="preserve">Radio monitors lead</t>
  </si>
  <si>
    <t xml:space="preserve">Time-sensitive. Feeds status banner triggers. Fast dispatch essential.</t>
  </si>
  <si>
    <t xml:space="preserve">VOA Executive</t>
  </si>
  <si>
    <t xml:space="preserve">Senior VOA coordination — strategy, serious incidents, escalations.</t>
  </si>
  <si>
    <t xml:space="preserve">Report (serious incident) · Coordination (VOA strategy)</t>
  </si>
  <si>
    <t xml:space="preserve">Antisemitism · serious incidents</t>
  </si>
  <si>
    <t xml:space="preserve">VOA senior team only</t>
  </si>
  <si>
    <t xml:space="preserve">Yes — VOA exec</t>
  </si>
  <si>
    <t xml:space="preserve">TPL-VOA-EXEC</t>
  </si>
  <si>
    <t xml:space="preserve">VOA lead</t>
  </si>
  <si>
    <t xml:space="preserve">Restricted — senior VOA only. Escalations from main VOA group.</t>
  </si>
  <si>
    <t xml:space="preserve">Events</t>
  </si>
  <si>
    <t xml:space="preserve">Event coordination — GPS-hosted events, joint events, attendee logistics.</t>
  </si>
  <si>
    <t xml:space="preserve">Event posts · Coordination · RSVPs</t>
  </si>
  <si>
    <t xml:space="preserve">Events · gatherings · meetings</t>
  </si>
  <si>
    <t xml:space="preserve">Members interested in events</t>
  </si>
  <si>
    <t xml:space="preserve">TPL-EVENTS</t>
  </si>
  <si>
    <t xml:space="preserve">Events lead</t>
  </si>
  <si>
    <t xml:space="preserve">Event announcements, logistics, host coordination.</t>
  </si>
  <si>
    <t xml:space="preserve">Podcast Advisory</t>
  </si>
  <si>
    <t xml:space="preserve">Podcast-specific team — guest invites, topic ideas, feedback.</t>
  </si>
  <si>
    <t xml:space="preserve">Coordination (podcast) · Seeking suggestions</t>
  </si>
  <si>
    <t xml:space="preserve">Media · podcast</t>
  </si>
  <si>
    <t xml:space="preserve">Podcast team</t>
  </si>
  <si>
    <t xml:space="preserve">Yes — podcast team</t>
  </si>
  <si>
    <t xml:space="preserve">TPL-PODCAST</t>
  </si>
  <si>
    <t xml:space="preserve">Podcast lead</t>
  </si>
  <si>
    <t xml:space="preserve">Niche team channel. Low-volume dispatch.</t>
  </si>
  <si>
    <t xml:space="preserve">GPS Action — routing matrix (post type → WhatsApp group)</t>
  </si>
  <si>
    <t xml:space="preserve">Rows = post/action types. Columns = your 20 WhatsApp groups. Cells: P (primary route, blue), C (conditional on region/topic, amber), O (optional, grey), blank (not routed). Conditions column explains each 'C'. Comments column on far right for your notes. This is the sheet to edit for actual routing rules.</t>
  </si>
  <si>
    <t xml:space="preserve">Key:</t>
  </si>
  <si>
    <t xml:space="preserve">P</t>
  </si>
  <si>
    <t xml:space="preserve">Primary</t>
  </si>
  <si>
    <t xml:space="preserve">C</t>
  </si>
  <si>
    <t xml:space="preserve">Conditional on region/topic</t>
  </si>
  <si>
    <t xml:space="preserve">O</t>
  </si>
  <si>
    <t xml:space="preserve">Optional / permitted</t>
  </si>
  <si>
    <t xml:space="preserve">Category</t>
  </si>
  <si>
    <t xml:space="preserve">Post / action type</t>
  </si>
  <si>
    <t xml:space="preserve">Typical example</t>
  </si>
  <si>
    <t xml:space="preserve">1. Welcome</t>
  </si>
  <si>
    <t xml:space="preserve">2. Action Network!</t>
  </si>
  <si>
    <t xml:space="preserve">3. VOA</t>
  </si>
  <si>
    <t xml:space="preserve">4. NEW TECH</t>
  </si>
  <si>
    <t xml:space="preserve">5. Network Tick or C…</t>
  </si>
  <si>
    <t xml:space="preserve">6. Coffee</t>
  </si>
  <si>
    <t xml:space="preserve">7. Volunteers Superg…</t>
  </si>
  <si>
    <t xml:space="preserve">8. Social Media</t>
  </si>
  <si>
    <t xml:space="preserve">9. General &amp; new inf…</t>
  </si>
  <si>
    <t xml:space="preserve">10. NEWS – WRITTEN &amp; …</t>
  </si>
  <si>
    <t xml:space="preserve">11. NEWS – WRITERS AD…</t>
  </si>
  <si>
    <t xml:space="preserve">12. NEWS – ALERTS ONLY</t>
  </si>
  <si>
    <t xml:space="preserve">13. Tower Hamlets</t>
  </si>
  <si>
    <t xml:space="preserve">14. Bristol</t>
  </si>
  <si>
    <t xml:space="preserve">15. LA Team</t>
  </si>
  <si>
    <t xml:space="preserve">16. BDS</t>
  </si>
  <si>
    <t xml:space="preserve">17. Local Radio Monit…</t>
  </si>
  <si>
    <t xml:space="preserve">18. VOA Executive</t>
  </si>
  <si>
    <t xml:space="preserve">19. Events</t>
  </si>
  <si>
    <t xml:space="preserve">20. Podcast Advisory</t>
  </si>
  <si>
    <t xml:space="preserve">Conditions / notes</t>
  </si>
  <si>
    <t xml:space="preserve">Action</t>
  </si>
  <si>
    <t xml:space="preserve">Email action</t>
  </si>
  <si>
    <t xml:space="preserve">'Email your councillor about the BDS motion'</t>
  </si>
  <si>
    <t xml:space="preserve">Routes depend on region + topic</t>
  </si>
  <si>
    <t xml:space="preserve">Phone action</t>
  </si>
  <si>
    <t xml:space="preserve">'Call LBC about tonight's show'</t>
  </si>
  <si>
    <t xml:space="preserve">Time-sensitive; status banner triggered</t>
  </si>
  <si>
    <t xml:space="preserve">Letter action</t>
  </si>
  <si>
    <t xml:space="preserve">'Write to your local paper about op-ed'</t>
  </si>
  <si>
    <t xml:space="preserve">Writers often involved</t>
  </si>
  <si>
    <t xml:space="preserve">Petition</t>
  </si>
  <si>
    <t xml:space="preserve">'Sign the petition for X'</t>
  </si>
  <si>
    <t xml:space="preserve">Amplify broadly</t>
  </si>
  <si>
    <t xml:space="preserve">Post-your-own (social)</t>
  </si>
  <si>
    <t xml:space="preserve">'Post your own reply to this tweet'</t>
  </si>
  <si>
    <t xml:space="preserve">Social Media team relevant</t>
  </si>
  <si>
    <t xml:space="preserve">Boost (social verdict)</t>
  </si>
  <si>
    <t xml:space="preserve">'This tweet should be amplified'</t>
  </si>
  <si>
    <t xml:space="preserve">REQUIRES Boost verdict; Tick or Cross</t>
  </si>
  <si>
    <t xml:space="preserve">Remove (social verdict)</t>
  </si>
  <si>
    <t xml:space="preserve">'This content should be reported'</t>
  </si>
  <si>
    <t xml:space="preserve">REQUIRES Remove verdict; Tick or Cross</t>
  </si>
  <si>
    <t xml:space="preserve">Donate</t>
  </si>
  <si>
    <t xml:space="preserve">'Support this fund'</t>
  </si>
  <si>
    <t xml:space="preserve">Usually Volunteers Supergroup + General</t>
  </si>
  <si>
    <t xml:space="preserve">Attend event</t>
  </si>
  <si>
    <t xml:space="preserve">'Come to Leicester gathering Sat 2pm'</t>
  </si>
  <si>
    <t xml:space="preserve">Regional + Events</t>
  </si>
  <si>
    <t xml:space="preserve">Join meeting</t>
  </si>
  <si>
    <t xml:space="preserve">'Zoom meeting for Writers Monday 7pm'</t>
  </si>
  <si>
    <t xml:space="preserve">Team-specific routing</t>
  </si>
  <si>
    <t xml:space="preserve">Join group</t>
  </si>
  <si>
    <t xml:space="preserve">'Join the new BDS response team'</t>
  </si>
  <si>
    <t xml:space="preserve">Volunteers Supergroup + topic</t>
  </si>
  <si>
    <t xml:space="preserve">Apply</t>
  </si>
  <si>
    <t xml:space="preserve">'Apply for this training place'</t>
  </si>
  <si>
    <t xml:space="preserve">Audience-specific</t>
  </si>
  <si>
    <t xml:space="preserve">Report incident</t>
  </si>
  <si>
    <t xml:space="preserve">'An incident happened in...' (VOA intake)</t>
  </si>
  <si>
    <t xml:space="preserve">VOA — never broad dispatch</t>
  </si>
  <si>
    <t xml:space="preserve">Report external content</t>
  </si>
  <si>
    <t xml:space="preserve">'This content on YouTube needs removal'</t>
  </si>
  <si>
    <t xml:space="preserve">Same as Remove verdict</t>
  </si>
  <si>
    <t xml:space="preserve">Seeking</t>
  </si>
  <si>
    <t xml:space="preserve">Seeking help</t>
  </si>
  <si>
    <t xml:space="preserve">'Leaflets at my child's school — what do I do?'</t>
  </si>
  <si>
    <t xml:space="preserve">General + topic-relevant</t>
  </si>
  <si>
    <t xml:space="preserve">Seeking resources</t>
  </si>
  <si>
    <t xml:space="preserve">'Anyone got an anti-BDS leaflet?'</t>
  </si>
  <si>
    <t xml:space="preserve">Writers / topic groups</t>
  </si>
  <si>
    <t xml:space="preserve">Seeking information</t>
  </si>
  <si>
    <t xml:space="preserve">'What's the latest on council BDS policy?'</t>
  </si>
  <si>
    <t xml:space="preserve">LA Team + General</t>
  </si>
  <si>
    <t xml:space="preserve">Seeking suggestions</t>
  </si>
  <si>
    <t xml:space="preserve">'Ideas for how to respond to X?'</t>
  </si>
  <si>
    <t xml:space="preserve">Relevant topic or team groups</t>
  </si>
  <si>
    <t xml:space="preserve">Outcome</t>
  </si>
  <si>
    <t xml:space="preserve">Outcome — win</t>
  </si>
  <si>
    <t xml:space="preserve">'Council BDS motion defeated 28-22!'</t>
  </si>
  <si>
    <t xml:space="preserve">Broadly shared; amplifies</t>
  </si>
  <si>
    <t xml:space="preserve">Outcome — letters placed</t>
  </si>
  <si>
    <t xml:space="preserve">'Yesterday's Writers event — 12 papers!'</t>
  </si>
  <si>
    <t xml:space="preserve">Outcome — reported</t>
  </si>
  <si>
    <t xml:space="preserve">'Report submitted to Ofcom'</t>
  </si>
  <si>
    <t xml:space="preserve">Team + General</t>
  </si>
  <si>
    <t xml:space="preserve">Community</t>
  </si>
  <si>
    <t xml:space="preserve">Shabbat / cultural</t>
  </si>
  <si>
    <t xml:space="preserve">'Shabbat Shalom' · 'Yom HaShoah'</t>
  </si>
  <si>
    <t xml:space="preserve">Volunteers Supergroup only</t>
  </si>
  <si>
    <t xml:space="preserve">Gathering / solidarity</t>
  </si>
  <si>
    <t xml:space="preserve">'Leicester solidarity tea, Sat 2pm'</t>
  </si>
  <si>
    <t xml:space="preserve">Appreciation / thanks</t>
  </si>
  <si>
    <t xml:space="preserve">'Thank you all who wrote this week'</t>
  </si>
  <si>
    <t xml:space="preserve">General + Volunteers Supergroup</t>
  </si>
  <si>
    <t xml:space="preserve">Coordination</t>
  </si>
  <si>
    <t xml:space="preserve">Team directive</t>
  </si>
  <si>
    <t xml:space="preserve">'All Writers: please review briefing by Friday'</t>
  </si>
  <si>
    <t xml:space="preserve">Specific team group only</t>
  </si>
  <si>
    <t xml:space="preserve">Internal alert</t>
  </si>
  <si>
    <t xml:space="preserve">'Heads up — protest planned Bristol Sat'</t>
  </si>
  <si>
    <t xml:space="preserve">Regional + relevant teams</t>
  </si>
  <si>
    <t xml:space="preserve">Status update</t>
  </si>
  <si>
    <t xml:space="preserve">'Weekly director update'</t>
  </si>
  <si>
    <t xml:space="preserve">Volunteers Supergroup + General</t>
  </si>
  <si>
    <t xml:space="preserve">Subtype</t>
  </si>
  <si>
    <t xml:space="preserve">Event invite (structured)</t>
  </si>
  <si>
    <t xml:space="preserve">'Join Writers event — Monday'</t>
  </si>
  <si>
    <t xml:space="preserve">Events + relevant team</t>
  </si>
  <si>
    <t xml:space="preserve">Meeting invite (structured)</t>
  </si>
  <si>
    <t xml:space="preserve">'Zoom Monday 7pm'</t>
  </si>
  <si>
    <t xml:space="preserve">Relevant team only</t>
  </si>
  <si>
    <t xml:space="preserve">Group invite (structured)</t>
  </si>
  <si>
    <t xml:space="preserve">'Join the new Bristol region group'</t>
  </si>
  <si>
    <t xml:space="preserve">Volunteers Supergroup + region</t>
  </si>
  <si>
    <t xml:space="preserve">Tweet embed</t>
  </si>
  <si>
    <t xml:space="preserve">'X post needing verdict'</t>
  </si>
  <si>
    <t xml:space="preserve">Usually with Boost/Remove verdict</t>
  </si>
  <si>
    <t xml:space="preserve">Video embed</t>
  </si>
  <si>
    <t xml:space="preserve">'YouTube video needing verdict'</t>
  </si>
  <si>
    <t xml:space="preserve">Poster hero</t>
  </si>
  <si>
    <t xml:space="preserve">'Infographic / campaign poster'</t>
  </si>
  <si>
    <t xml:space="preserve">Topic / region dependent</t>
  </si>
  <si>
    <t xml:space="preserve">Photo-centric</t>
  </si>
  <si>
    <t xml:space="preserve">'Photos from gathering'</t>
  </si>
  <si>
    <t xml:space="preserve">Community; regional</t>
  </si>
  <si>
    <t xml:space="preserve">Open questions &amp; discussion</t>
  </si>
  <si>
    <t xml:space="preserve">Two areas below: (1) questions Claude has for you (already-populated), (2) space for your questions/feedback. Add rows as needed. This is the catch-all for feedback that doesn't fit a specific cell in Routes or Matrix.</t>
  </si>
  <si>
    <t xml:space="preserve">Section A — Questions from Claude (please answer)</t>
  </si>
  <si>
    <t xml:space="preserve">Question</t>
  </si>
  <si>
    <t xml:space="preserve">Your answer</t>
  </si>
  <si>
    <t xml:space="preserve">NEW TECH group — is this (a) feedback channel for the GPS platform, or (b) a topic channel covering tech/Big Tech/surveillance? Routing depends on answer.</t>
  </si>
  <si>
    <t xml:space="preserve">Coffee group — is it casual chat only (not a dispatch target), or does it have a specific purpose I should capture?</t>
  </si>
  <si>
    <t xml:space="preserve">Action Network! — I've marked this as the default target for most Action posts. Should the routing be more selective (only urgent? only certain topics)?</t>
  </si>
  <si>
    <t xml:space="preserve">Volunteers Supergroup — I've flagged it as the largest member audience for wide-reach only. Is this correctly the biggest channel, and is that threshold right?</t>
  </si>
  <si>
    <t xml:space="preserve">General &amp; new info &amp; ideas — I've treated this as a soft catch-all. Is there a more specific purpose?</t>
  </si>
  <si>
    <t xml:space="preserve">VOA vs VOA Executive — I've split them: VOA for members, VOA Executive for senior team. Serious incidents escalate from VOA to VOA Exec. Correct?</t>
  </si>
  <si>
    <t xml:space="preserve">BDS + LA Team overlap — a council BDS motion could route to both, plus region. I've specified parallel routing. Sensible, or should one take precedence?</t>
  </si>
  <si>
    <t xml:space="preserve">Are there missing WhatsApp groups I don't have on the list? Add rows to the Routes sheet.</t>
  </si>
  <si>
    <t xml:space="preserve">Are there post/action types missing from the Matrix sheet? Common ones you dispatch that aren't captured?</t>
  </si>
  <si>
    <t xml:space="preserve">Message templates per route — for MVP, do you want strict templates (can't deviate) or loose templates (starting point, dispatcher edits)?</t>
  </si>
  <si>
    <t xml:space="preserve">For restricted routes (VOA, LA Team, Writers trio) — who exactly is on each team? Needed for the 'who can dispatch' permissions.</t>
  </si>
  <si>
    <t xml:space="preserve">Are any of these groups actually WhatsApp Channels (one-way broadcast) rather than group chats? That would open automation options.</t>
  </si>
  <si>
    <t xml:space="preserve">Section B — Your questions, corrections, and notes</t>
  </si>
  <si>
    <t xml:space="preserve">Your question / feedback / correction</t>
  </si>
  <si>
    <t xml:space="preserve">Area (Routes / Matrix / General)</t>
  </si>
  <si>
    <t xml:space="preserve">Legend &amp; conventions</t>
  </si>
  <si>
    <t xml:space="preserve">How to read and iterate this workbook.</t>
  </si>
  <si>
    <t xml:space="preserve">Sheet</t>
  </si>
  <si>
    <t xml:space="preserve">Purpose</t>
  </si>
  <si>
    <t xml:space="preserve">When to edit</t>
  </si>
  <si>
    <t xml:space="preserve">Routes</t>
  </si>
  <si>
    <t xml:space="preserve">One row per WhatsApp destination. Describes what the group is, who owns it, visibility rules, etc.</t>
  </si>
  <si>
    <t xml:space="preserve">When changing what a group is for, adding/removing groups, changing ownership.</t>
  </si>
  <si>
    <t xml:space="preserve">Matrix</t>
  </si>
  <si>
    <t xml:space="preserve">Crosstab: post types (rows) × WhatsApp groups (columns). Cells show P/C/O routing marks.</t>
  </si>
  <si>
    <t xml:space="preserve">When changing WHICH post types route to WHICH groups. This is the primary routing rules sheet.</t>
  </si>
  <si>
    <t xml:space="preserve">Questions</t>
  </si>
  <si>
    <t xml:space="preserve">Two sections: Claude's questions for you, and space for your feedback.</t>
  </si>
  <si>
    <t xml:space="preserve">Whenever you have a comment that doesn't fit a specific cell.</t>
  </si>
  <si>
    <t xml:space="preserve">Summary</t>
  </si>
  <si>
    <t xml:space="preserve">Live-formula counts from Routes (and Matrix once stabilised).</t>
  </si>
  <si>
    <t xml:space="preserve">Read-only. Updates automatically.</t>
  </si>
  <si>
    <t xml:space="preserve">Matrix marks</t>
  </si>
  <si>
    <t xml:space="preserve">P (blue)</t>
  </si>
  <si>
    <t xml:space="preserve">Primary — this post type routes here by default. Top recommendation in dispatch modal.</t>
  </si>
  <si>
    <t xml:space="preserve">C (amber)</t>
  </si>
  <si>
    <t xml:space="preserve">Conditional — routes here only if post has specific region/topic tag. Conditions column explains.</t>
  </si>
  <si>
    <t xml:space="preserve">O (grey)</t>
  </si>
  <si>
    <t xml:space="preserve">Optional — permitted but not suggested. Dispatcher can tick it in dispatch modal if relevant.</t>
  </si>
  <si>
    <t xml:space="preserve">blank</t>
  </si>
  <si>
    <t xml:space="preserve">Not routed. Post type never dispatches here.</t>
  </si>
  <si>
    <t xml:space="preserve">Where to put comments</t>
  </si>
  <si>
    <t xml:space="preserve">1. Your comments column (far right of Routes &amp; Matrix)</t>
  </si>
  <si>
    <t xml:space="preserve">For comments about a specific row.</t>
  </si>
  <si>
    <t xml:space="preserve">2. Excel cell comment (right-click → New Comment)</t>
  </si>
  <si>
    <t xml:space="preserve">For comments about a specific cell (e.g. 'this P should be O').</t>
  </si>
  <si>
    <t xml:space="preserve">3. Questions sheet, Section B</t>
  </si>
  <si>
    <t xml:space="preserve">For higher-level points, disagreements, or things that span multiple rows.</t>
  </si>
  <si>
    <t xml:space="preserve">Iteration workflow</t>
  </si>
  <si>
    <t xml:space="preserve">1</t>
  </si>
  <si>
    <t xml:space="preserve">Answer Claude's questions in the Questions sheet, Section A. These are the biggest unknowns.</t>
  </si>
  <si>
    <t xml:space="preserve">2</t>
  </si>
  <si>
    <t xml:space="preserve">Walk the Matrix sheet row by row. For each post type: check the P/C/O marks are right.</t>
  </si>
  <si>
    <t xml:space="preserve">3</t>
  </si>
  <si>
    <t xml:space="preserve">For any cell you disagree with: change it in the Matrix (P→C, add a tick, remove one, etc.) and note why in the Conditions or Comments column.</t>
  </si>
  <si>
    <t xml:space="preserve">4</t>
  </si>
  <si>
    <t xml:space="preserve">Walk the Routes sheet for group-level corrections (especially yellow cells).</t>
  </si>
  <si>
    <t xml:space="preserve">5</t>
  </si>
  <si>
    <t xml:space="preserve">Send the sheet back. Claude will propose v0.3 and we iterate.</t>
  </si>
  <si>
    <t xml:space="preserve">Summary — live counts</t>
  </si>
  <si>
    <t xml:space="preserve">Live formula counts from Routes and Matrix. Updates automatically.</t>
  </si>
  <si>
    <t xml:space="preserve">Routes overview</t>
  </si>
  <si>
    <t xml:space="preserve">Total routes</t>
  </si>
  <si>
    <t xml:space="preserve">National scope</t>
  </si>
  <si>
    <t xml:space="preserve">Regional scope</t>
  </si>
  <si>
    <t xml:space="preserve">Topic scope</t>
  </si>
  <si>
    <t xml:space="preserve">Team scope</t>
  </si>
  <si>
    <t xml:space="preserve">Unclear (needs clarification)</t>
  </si>
  <si>
    <t xml:space="preserve">Dispatch type</t>
  </si>
  <si>
    <t xml:space="preserve">Group chats (manual dispatch)</t>
  </si>
  <si>
    <t xml:space="preserve">Channels (automatable, Phase 2)</t>
  </si>
  <si>
    <t xml:space="preserve">Restricted vs open</t>
  </si>
  <si>
    <t xml:space="preserve">Restricted (team-only dispatch)</t>
  </si>
  <si>
    <t xml:space="preserve">Open (any member dispatches)</t>
  </si>
  <si>
    <t xml:space="preserve">Matrix density</t>
  </si>
  <si>
    <t xml:space="preserve">Primary (P) routings</t>
  </si>
  <si>
    <t xml:space="preserve">Conditional (C) routings</t>
  </si>
  <si>
    <t xml:space="preserve">Optional (O) routings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</si>
</sst>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C2A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851CC"/>
        <bgColor rgb="FF3366FF"/>
      </patternFill>
    </fill>
    <fill>
      <patternFill patternType="solid">
        <fgColor rgb="FFE6EDFA"/>
        <bgColor rgb="FFEEEDFE"/>
      </patternFill>
    </fill>
    <fill>
      <patternFill patternType="solid">
        <fgColor rgb="FFF1EFE8"/>
        <bgColor rgb="FFF4F1EA"/>
      </patternFill>
    </fill>
    <fill>
      <patternFill patternType="solid">
        <fgColor rgb="FFF4F1EA"/>
        <bgColor rgb="FFF1EFE8"/>
      </patternFill>
    </fill>
    <fill>
      <patternFill patternType="solid">
        <fgColor rgb="FFFFF7D6"/>
        <bgColor rgb="FFFAEEDA"/>
      </patternFill>
    </fill>
    <fill>
      <patternFill patternType="solid">
        <fgColor rgb="FFEEEDFE"/>
        <bgColor rgb="FFE6EDFA"/>
      </patternFill>
    </fill>
    <fill>
      <patternFill patternType="solid">
        <fgColor rgb="FFFAECE7"/>
        <bgColor rgb="FFFAEEDA"/>
      </patternFill>
    </fill>
    <fill>
      <patternFill patternType="solid">
        <fgColor rgb="FFE1F5EE"/>
        <bgColor rgb="FFE6EDFA"/>
      </patternFill>
    </fill>
    <fill>
      <patternFill patternType="solid">
        <fgColor rgb="FFBA7517"/>
        <bgColor rgb="FFFF6600"/>
      </patternFill>
    </fill>
    <fill>
      <patternFill patternType="solid">
        <fgColor rgb="FFB4B2A9"/>
        <bgColor rgb="FF969696"/>
      </patternFill>
    </fill>
    <fill>
      <patternFill patternType="solid">
        <fgColor rgb="FFF3E8EC"/>
        <bgColor rgb="FFFAECE7"/>
      </patternFill>
    </fill>
    <fill>
      <patternFill patternType="solid">
        <fgColor rgb="FFFAEEDA"/>
        <bgColor rgb="FFFAECE7"/>
      </patternFill>
    </fill>
    <fill>
      <patternFill patternType="solid">
        <fgColor rgb="FFEDE9DF"/>
        <bgColor rgb="FFF3E8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2C8"/>
      </left>
      <right style="thin">
        <color rgb="FFD5D2C8"/>
      </right>
      <top style="thin">
        <color rgb="FFD5D2C8"/>
      </top>
      <bottom style="thin">
        <color rgb="FFD5D2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1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4F1EA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B4B2A9"/>
      <rgbColor rgb="FF808080"/>
      <rgbColor rgb="FF9999FF"/>
      <rgbColor rgb="FF993366"/>
      <rgbColor rgb="FFFFF7D6"/>
      <rgbColor rgb="FFE1F5EE"/>
      <rgbColor rgb="FF660066"/>
      <rgbColor rgb="FFFF8080"/>
      <rgbColor rgb="FF1851CC"/>
      <rgbColor rgb="FFD5D2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DFA"/>
      <rgbColor rgb="FFF1EFE8"/>
      <rgbColor rgb="FFFAEEDA"/>
      <rgbColor rgb="FFEEEDFE"/>
      <rgbColor rgb="FFF3E8EC"/>
      <rgbColor rgb="FFFAECE7"/>
      <rgbColor rgb="FFEDE9DF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4" min="14" style="0" width="8"/>
    <col collapsed="false" customWidth="true" hidden="false" outlineLevel="0" max="15" min="15" style="0" width="42"/>
    <col collapsed="false" customWidth="true" hidden="false" outlineLevel="0" max="16" min="16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61.5" hidden="false" customHeight="true" outlineLevel="0" collapsed="false">
      <c r="A5" s="4" t="n">
        <v>1</v>
      </c>
      <c r="B5" s="4" t="s">
        <v>18</v>
      </c>
      <c r="C5" s="4" t="s">
        <v>19</v>
      </c>
      <c r="D5" s="5" t="s">
        <v>20</v>
      </c>
      <c r="E5" s="6" t="s">
        <v>21</v>
      </c>
      <c r="F5" s="4" t="s">
        <v>22</v>
      </c>
      <c r="G5" s="4" t="s">
        <v>23</v>
      </c>
      <c r="H5" s="4" t="s">
        <v>23</v>
      </c>
      <c r="I5" s="4" t="s">
        <v>23</v>
      </c>
      <c r="J5" s="4" t="s">
        <v>24</v>
      </c>
      <c r="K5" s="4" t="s">
        <v>23</v>
      </c>
      <c r="L5" s="4" t="s">
        <v>25</v>
      </c>
      <c r="M5" s="4" t="s">
        <v>26</v>
      </c>
      <c r="N5" s="4" t="s">
        <v>27</v>
      </c>
      <c r="O5" s="4" t="s">
        <v>28</v>
      </c>
      <c r="P5" s="7"/>
    </row>
    <row r="6" customFormat="false" ht="61.5" hidden="false" customHeight="true" outlineLevel="0" collapsed="false">
      <c r="A6" s="4" t="n">
        <v>2</v>
      </c>
      <c r="B6" s="4" t="s">
        <v>29</v>
      </c>
      <c r="C6" s="4" t="s">
        <v>30</v>
      </c>
      <c r="D6" s="5" t="s">
        <v>20</v>
      </c>
      <c r="E6" s="6" t="s">
        <v>21</v>
      </c>
      <c r="F6" s="4" t="s">
        <v>31</v>
      </c>
      <c r="G6" s="4" t="s">
        <v>32</v>
      </c>
      <c r="H6" s="4" t="s">
        <v>33</v>
      </c>
      <c r="I6" s="4" t="s">
        <v>23</v>
      </c>
      <c r="J6" s="4" t="s">
        <v>34</v>
      </c>
      <c r="K6" s="4" t="s">
        <v>35</v>
      </c>
      <c r="L6" s="4" t="s">
        <v>36</v>
      </c>
      <c r="M6" s="4" t="s">
        <v>37</v>
      </c>
      <c r="N6" s="4" t="s">
        <v>27</v>
      </c>
      <c r="O6" s="4" t="s">
        <v>38</v>
      </c>
      <c r="P6" s="7"/>
    </row>
    <row r="7" customFormat="false" ht="61.5" hidden="false" customHeight="true" outlineLevel="0" collapsed="false">
      <c r="A7" s="4" t="n">
        <v>3</v>
      </c>
      <c r="B7" s="4" t="s">
        <v>39</v>
      </c>
      <c r="C7" s="4" t="s">
        <v>40</v>
      </c>
      <c r="D7" s="5" t="s">
        <v>20</v>
      </c>
      <c r="E7" s="6" t="s">
        <v>21</v>
      </c>
      <c r="F7" s="4" t="s">
        <v>41</v>
      </c>
      <c r="G7" s="4" t="s">
        <v>42</v>
      </c>
      <c r="H7" s="4" t="s">
        <v>43</v>
      </c>
      <c r="I7" s="4" t="s">
        <v>23</v>
      </c>
      <c r="J7" s="4" t="s">
        <v>44</v>
      </c>
      <c r="K7" s="4" t="s">
        <v>45</v>
      </c>
      <c r="L7" s="4" t="s">
        <v>46</v>
      </c>
      <c r="M7" s="4" t="s">
        <v>47</v>
      </c>
      <c r="N7" s="4" t="s">
        <v>27</v>
      </c>
      <c r="O7" s="4" t="s">
        <v>48</v>
      </c>
      <c r="P7" s="7"/>
    </row>
    <row r="8" customFormat="false" ht="61.5" hidden="false" customHeight="true" outlineLevel="0" collapsed="false">
      <c r="A8" s="4" t="n">
        <v>4</v>
      </c>
      <c r="B8" s="4" t="s">
        <v>49</v>
      </c>
      <c r="C8" s="8" t="s">
        <v>50</v>
      </c>
      <c r="D8" s="8" t="s">
        <v>51</v>
      </c>
      <c r="E8" s="8" t="s">
        <v>51</v>
      </c>
      <c r="F8" s="8" t="s">
        <v>51</v>
      </c>
      <c r="G8" s="8" t="s">
        <v>51</v>
      </c>
      <c r="H8" s="8" t="s">
        <v>51</v>
      </c>
      <c r="I8" s="4" t="s">
        <v>23</v>
      </c>
      <c r="J8" s="8" t="s">
        <v>51</v>
      </c>
      <c r="K8" s="8" t="s">
        <v>51</v>
      </c>
      <c r="L8" s="8" t="s">
        <v>51</v>
      </c>
      <c r="M8" s="8" t="s">
        <v>51</v>
      </c>
      <c r="N8" s="4" t="s">
        <v>27</v>
      </c>
      <c r="O8" s="4" t="s">
        <v>52</v>
      </c>
      <c r="P8" s="7"/>
    </row>
    <row r="9" customFormat="false" ht="61.5" hidden="false" customHeight="true" outlineLevel="0" collapsed="false">
      <c r="A9" s="4" t="n">
        <v>5</v>
      </c>
      <c r="B9" s="4" t="s">
        <v>53</v>
      </c>
      <c r="C9" s="4" t="s">
        <v>54</v>
      </c>
      <c r="D9" s="5" t="s">
        <v>20</v>
      </c>
      <c r="E9" s="6" t="s">
        <v>21</v>
      </c>
      <c r="F9" s="4" t="s">
        <v>55</v>
      </c>
      <c r="G9" s="4" t="s">
        <v>42</v>
      </c>
      <c r="H9" s="4" t="s">
        <v>56</v>
      </c>
      <c r="I9" s="4" t="s">
        <v>57</v>
      </c>
      <c r="J9" s="4" t="s">
        <v>34</v>
      </c>
      <c r="K9" s="4" t="s">
        <v>35</v>
      </c>
      <c r="L9" s="4" t="s">
        <v>58</v>
      </c>
      <c r="M9" s="4" t="s">
        <v>59</v>
      </c>
      <c r="N9" s="4" t="s">
        <v>27</v>
      </c>
      <c r="O9" s="4" t="s">
        <v>60</v>
      </c>
      <c r="P9" s="7"/>
    </row>
    <row r="10" customFormat="false" ht="61.5" hidden="false" customHeight="true" outlineLevel="0" collapsed="false">
      <c r="A10" s="4" t="n">
        <v>6</v>
      </c>
      <c r="B10" s="4" t="s">
        <v>61</v>
      </c>
      <c r="C10" s="4" t="s">
        <v>62</v>
      </c>
      <c r="D10" s="5" t="s">
        <v>20</v>
      </c>
      <c r="E10" s="6" t="s">
        <v>21</v>
      </c>
      <c r="F10" s="4" t="s">
        <v>22</v>
      </c>
      <c r="G10" s="4" t="s">
        <v>23</v>
      </c>
      <c r="H10" s="4" t="s">
        <v>23</v>
      </c>
      <c r="I10" s="4" t="s">
        <v>23</v>
      </c>
      <c r="J10" s="4" t="s">
        <v>34</v>
      </c>
      <c r="K10" s="4" t="s">
        <v>23</v>
      </c>
      <c r="L10" s="4" t="s">
        <v>25</v>
      </c>
      <c r="M10" s="8" t="s">
        <v>51</v>
      </c>
      <c r="N10" s="4" t="s">
        <v>27</v>
      </c>
      <c r="O10" s="4" t="s">
        <v>63</v>
      </c>
      <c r="P10" s="7"/>
    </row>
    <row r="11" customFormat="false" ht="61.5" hidden="false" customHeight="true" outlineLevel="0" collapsed="false">
      <c r="A11" s="4" t="n">
        <v>7</v>
      </c>
      <c r="B11" s="4" t="s">
        <v>64</v>
      </c>
      <c r="C11" s="4" t="s">
        <v>65</v>
      </c>
      <c r="D11" s="5" t="s">
        <v>20</v>
      </c>
      <c r="E11" s="6" t="s">
        <v>21</v>
      </c>
      <c r="F11" s="4" t="s">
        <v>66</v>
      </c>
      <c r="G11" s="4" t="s">
        <v>42</v>
      </c>
      <c r="H11" s="4" t="s">
        <v>33</v>
      </c>
      <c r="I11" s="4" t="s">
        <v>23</v>
      </c>
      <c r="J11" s="4" t="s">
        <v>34</v>
      </c>
      <c r="K11" s="4" t="s">
        <v>35</v>
      </c>
      <c r="L11" s="4" t="s">
        <v>67</v>
      </c>
      <c r="M11" s="4" t="s">
        <v>37</v>
      </c>
      <c r="N11" s="4" t="s">
        <v>27</v>
      </c>
      <c r="O11" s="4" t="s">
        <v>68</v>
      </c>
      <c r="P11" s="7"/>
    </row>
    <row r="12" customFormat="false" ht="61.5" hidden="false" customHeight="true" outlineLevel="0" collapsed="false">
      <c r="A12" s="4" t="n">
        <v>8</v>
      </c>
      <c r="B12" s="4" t="s">
        <v>69</v>
      </c>
      <c r="C12" s="4" t="s">
        <v>70</v>
      </c>
      <c r="D12" s="9" t="s">
        <v>71</v>
      </c>
      <c r="E12" s="6" t="s">
        <v>21</v>
      </c>
      <c r="F12" s="4" t="s">
        <v>72</v>
      </c>
      <c r="G12" s="4" t="s">
        <v>42</v>
      </c>
      <c r="H12" s="4" t="s">
        <v>73</v>
      </c>
      <c r="I12" s="4" t="s">
        <v>23</v>
      </c>
      <c r="J12" s="4" t="s">
        <v>74</v>
      </c>
      <c r="K12" s="4" t="s">
        <v>75</v>
      </c>
      <c r="L12" s="4" t="s">
        <v>76</v>
      </c>
      <c r="M12" s="4" t="s">
        <v>77</v>
      </c>
      <c r="N12" s="4" t="s">
        <v>27</v>
      </c>
      <c r="O12" s="4" t="s">
        <v>78</v>
      </c>
      <c r="P12" s="7"/>
    </row>
    <row r="13" customFormat="false" ht="61.5" hidden="false" customHeight="true" outlineLevel="0" collapsed="false">
      <c r="A13" s="4" t="n">
        <v>9</v>
      </c>
      <c r="B13" s="4" t="s">
        <v>79</v>
      </c>
      <c r="C13" s="4" t="s">
        <v>80</v>
      </c>
      <c r="D13" s="5" t="s">
        <v>20</v>
      </c>
      <c r="E13" s="6" t="s">
        <v>21</v>
      </c>
      <c r="F13" s="4" t="s">
        <v>81</v>
      </c>
      <c r="G13" s="4" t="s">
        <v>42</v>
      </c>
      <c r="H13" s="4" t="s">
        <v>33</v>
      </c>
      <c r="I13" s="4" t="s">
        <v>23</v>
      </c>
      <c r="J13" s="4" t="s">
        <v>34</v>
      </c>
      <c r="K13" s="4" t="s">
        <v>35</v>
      </c>
      <c r="L13" s="4" t="s">
        <v>82</v>
      </c>
      <c r="M13" s="4" t="s">
        <v>83</v>
      </c>
      <c r="N13" s="4" t="s">
        <v>27</v>
      </c>
      <c r="O13" s="4" t="s">
        <v>84</v>
      </c>
      <c r="P13" s="7"/>
    </row>
    <row r="14" customFormat="false" ht="61.5" hidden="false" customHeight="true" outlineLevel="0" collapsed="false">
      <c r="A14" s="4" t="n">
        <v>10</v>
      </c>
      <c r="B14" s="4" t="s">
        <v>85</v>
      </c>
      <c r="C14" s="4" t="s">
        <v>86</v>
      </c>
      <c r="D14" s="9" t="s">
        <v>71</v>
      </c>
      <c r="E14" s="6" t="s">
        <v>21</v>
      </c>
      <c r="F14" s="4" t="s">
        <v>87</v>
      </c>
      <c r="G14" s="4" t="s">
        <v>42</v>
      </c>
      <c r="H14" s="4" t="s">
        <v>88</v>
      </c>
      <c r="I14" s="4" t="s">
        <v>23</v>
      </c>
      <c r="J14" s="4" t="s">
        <v>89</v>
      </c>
      <c r="K14" s="4" t="s">
        <v>90</v>
      </c>
      <c r="L14" s="4" t="s">
        <v>91</v>
      </c>
      <c r="M14" s="4" t="s">
        <v>92</v>
      </c>
      <c r="N14" s="4" t="s">
        <v>27</v>
      </c>
      <c r="O14" s="4" t="s">
        <v>93</v>
      </c>
      <c r="P14" s="7"/>
    </row>
    <row r="15" customFormat="false" ht="61.5" hidden="false" customHeight="true" outlineLevel="0" collapsed="false">
      <c r="A15" s="4" t="n">
        <v>11</v>
      </c>
      <c r="B15" s="4" t="s">
        <v>94</v>
      </c>
      <c r="C15" s="4" t="s">
        <v>95</v>
      </c>
      <c r="D15" s="9" t="s">
        <v>71</v>
      </c>
      <c r="E15" s="6" t="s">
        <v>21</v>
      </c>
      <c r="F15" s="4" t="s">
        <v>96</v>
      </c>
      <c r="G15" s="4" t="s">
        <v>42</v>
      </c>
      <c r="H15" s="4" t="s">
        <v>88</v>
      </c>
      <c r="I15" s="4" t="s">
        <v>23</v>
      </c>
      <c r="J15" s="4" t="s">
        <v>89</v>
      </c>
      <c r="K15" s="4" t="s">
        <v>90</v>
      </c>
      <c r="L15" s="4" t="s">
        <v>97</v>
      </c>
      <c r="M15" s="4" t="s">
        <v>92</v>
      </c>
      <c r="N15" s="4" t="s">
        <v>27</v>
      </c>
      <c r="O15" s="4" t="s">
        <v>98</v>
      </c>
      <c r="P15" s="7"/>
    </row>
    <row r="16" customFormat="false" ht="61.5" hidden="false" customHeight="true" outlineLevel="0" collapsed="false">
      <c r="A16" s="4" t="n">
        <v>12</v>
      </c>
      <c r="B16" s="4" t="s">
        <v>99</v>
      </c>
      <c r="C16" s="4" t="s">
        <v>100</v>
      </c>
      <c r="D16" s="9" t="s">
        <v>71</v>
      </c>
      <c r="E16" s="6" t="s">
        <v>21</v>
      </c>
      <c r="F16" s="4" t="s">
        <v>101</v>
      </c>
      <c r="G16" s="4" t="s">
        <v>42</v>
      </c>
      <c r="H16" s="4" t="s">
        <v>102</v>
      </c>
      <c r="I16" s="4" t="s">
        <v>23</v>
      </c>
      <c r="J16" s="4" t="s">
        <v>89</v>
      </c>
      <c r="K16" s="4" t="s">
        <v>90</v>
      </c>
      <c r="L16" s="4" t="s">
        <v>103</v>
      </c>
      <c r="M16" s="4" t="s">
        <v>92</v>
      </c>
      <c r="N16" s="4" t="s">
        <v>27</v>
      </c>
      <c r="O16" s="4" t="s">
        <v>104</v>
      </c>
      <c r="P16" s="7"/>
    </row>
    <row r="17" customFormat="false" ht="61.5" hidden="false" customHeight="true" outlineLevel="0" collapsed="false">
      <c r="A17" s="4" t="n">
        <v>13</v>
      </c>
      <c r="B17" s="4" t="s">
        <v>105</v>
      </c>
      <c r="C17" s="4" t="s">
        <v>106</v>
      </c>
      <c r="D17" s="10" t="s">
        <v>107</v>
      </c>
      <c r="E17" s="6" t="s">
        <v>21</v>
      </c>
      <c r="F17" s="4" t="s">
        <v>108</v>
      </c>
      <c r="G17" s="4" t="s">
        <v>109</v>
      </c>
      <c r="H17" s="4" t="s">
        <v>33</v>
      </c>
      <c r="I17" s="4" t="s">
        <v>23</v>
      </c>
      <c r="J17" s="4" t="s">
        <v>110</v>
      </c>
      <c r="K17" s="4" t="s">
        <v>35</v>
      </c>
      <c r="L17" s="4" t="s">
        <v>111</v>
      </c>
      <c r="M17" s="4" t="s">
        <v>112</v>
      </c>
      <c r="N17" s="4" t="s">
        <v>27</v>
      </c>
      <c r="O17" s="4" t="s">
        <v>113</v>
      </c>
      <c r="P17" s="7"/>
    </row>
    <row r="18" customFormat="false" ht="61.5" hidden="false" customHeight="true" outlineLevel="0" collapsed="false">
      <c r="A18" s="4" t="n">
        <v>14</v>
      </c>
      <c r="B18" s="4" t="s">
        <v>114</v>
      </c>
      <c r="C18" s="4" t="s">
        <v>115</v>
      </c>
      <c r="D18" s="10" t="s">
        <v>107</v>
      </c>
      <c r="E18" s="6" t="s">
        <v>21</v>
      </c>
      <c r="F18" s="4" t="s">
        <v>108</v>
      </c>
      <c r="G18" s="4" t="s">
        <v>114</v>
      </c>
      <c r="H18" s="4" t="s">
        <v>33</v>
      </c>
      <c r="I18" s="4" t="s">
        <v>23</v>
      </c>
      <c r="J18" s="4" t="s">
        <v>110</v>
      </c>
      <c r="K18" s="4" t="s">
        <v>35</v>
      </c>
      <c r="L18" s="4" t="s">
        <v>111</v>
      </c>
      <c r="M18" s="4" t="s">
        <v>116</v>
      </c>
      <c r="N18" s="4" t="s">
        <v>27</v>
      </c>
      <c r="O18" s="4" t="s">
        <v>117</v>
      </c>
      <c r="P18" s="7"/>
    </row>
    <row r="19" customFormat="false" ht="61.5" hidden="false" customHeight="true" outlineLevel="0" collapsed="false">
      <c r="A19" s="4" t="n">
        <v>15</v>
      </c>
      <c r="B19" s="4" t="s">
        <v>118</v>
      </c>
      <c r="C19" s="4" t="s">
        <v>119</v>
      </c>
      <c r="D19" s="9" t="s">
        <v>71</v>
      </c>
      <c r="E19" s="6" t="s">
        <v>21</v>
      </c>
      <c r="F19" s="4" t="s">
        <v>120</v>
      </c>
      <c r="G19" s="4" t="s">
        <v>42</v>
      </c>
      <c r="H19" s="4" t="s">
        <v>121</v>
      </c>
      <c r="I19" s="4" t="s">
        <v>23</v>
      </c>
      <c r="J19" s="4" t="s">
        <v>122</v>
      </c>
      <c r="K19" s="4" t="s">
        <v>123</v>
      </c>
      <c r="L19" s="4" t="s">
        <v>124</v>
      </c>
      <c r="M19" s="4" t="s">
        <v>125</v>
      </c>
      <c r="N19" s="4" t="s">
        <v>27</v>
      </c>
      <c r="O19" s="4" t="s">
        <v>126</v>
      </c>
      <c r="P19" s="7"/>
    </row>
    <row r="20" customFormat="false" ht="61.5" hidden="false" customHeight="true" outlineLevel="0" collapsed="false">
      <c r="A20" s="4" t="n">
        <v>16</v>
      </c>
      <c r="B20" s="4" t="s">
        <v>127</v>
      </c>
      <c r="C20" s="4" t="s">
        <v>128</v>
      </c>
      <c r="D20" s="11" t="s">
        <v>129</v>
      </c>
      <c r="E20" s="6" t="s">
        <v>21</v>
      </c>
      <c r="F20" s="4" t="s">
        <v>130</v>
      </c>
      <c r="G20" s="4" t="s">
        <v>42</v>
      </c>
      <c r="H20" s="4" t="s">
        <v>131</v>
      </c>
      <c r="I20" s="4" t="s">
        <v>23</v>
      </c>
      <c r="J20" s="4" t="s">
        <v>132</v>
      </c>
      <c r="K20" s="4" t="s">
        <v>35</v>
      </c>
      <c r="L20" s="4" t="s">
        <v>133</v>
      </c>
      <c r="M20" s="4" t="s">
        <v>83</v>
      </c>
      <c r="N20" s="4" t="s">
        <v>27</v>
      </c>
      <c r="O20" s="4" t="s">
        <v>134</v>
      </c>
      <c r="P20" s="7"/>
    </row>
    <row r="21" customFormat="false" ht="61.5" hidden="false" customHeight="true" outlineLevel="0" collapsed="false">
      <c r="A21" s="4" t="n">
        <v>17</v>
      </c>
      <c r="B21" s="4" t="s">
        <v>135</v>
      </c>
      <c r="C21" s="4" t="s">
        <v>136</v>
      </c>
      <c r="D21" s="9" t="s">
        <v>71</v>
      </c>
      <c r="E21" s="6" t="s">
        <v>21</v>
      </c>
      <c r="F21" s="4" t="s">
        <v>137</v>
      </c>
      <c r="G21" s="4" t="s">
        <v>42</v>
      </c>
      <c r="H21" s="4" t="s">
        <v>138</v>
      </c>
      <c r="I21" s="4" t="s">
        <v>23</v>
      </c>
      <c r="J21" s="4" t="s">
        <v>139</v>
      </c>
      <c r="K21" s="4" t="s">
        <v>140</v>
      </c>
      <c r="L21" s="4" t="s">
        <v>141</v>
      </c>
      <c r="M21" s="4" t="s">
        <v>142</v>
      </c>
      <c r="N21" s="4" t="s">
        <v>27</v>
      </c>
      <c r="O21" s="4" t="s">
        <v>143</v>
      </c>
      <c r="P21" s="7"/>
    </row>
    <row r="22" customFormat="false" ht="61.5" hidden="false" customHeight="true" outlineLevel="0" collapsed="false">
      <c r="A22" s="4" t="n">
        <v>18</v>
      </c>
      <c r="B22" s="4" t="s">
        <v>144</v>
      </c>
      <c r="C22" s="4" t="s">
        <v>145</v>
      </c>
      <c r="D22" s="9" t="s">
        <v>71</v>
      </c>
      <c r="E22" s="6" t="s">
        <v>21</v>
      </c>
      <c r="F22" s="4" t="s">
        <v>146</v>
      </c>
      <c r="G22" s="4" t="s">
        <v>42</v>
      </c>
      <c r="H22" s="4" t="s">
        <v>147</v>
      </c>
      <c r="I22" s="4" t="s">
        <v>23</v>
      </c>
      <c r="J22" s="4" t="s">
        <v>148</v>
      </c>
      <c r="K22" s="4" t="s">
        <v>149</v>
      </c>
      <c r="L22" s="4" t="s">
        <v>150</v>
      </c>
      <c r="M22" s="4" t="s">
        <v>151</v>
      </c>
      <c r="N22" s="4" t="s">
        <v>27</v>
      </c>
      <c r="O22" s="4" t="s">
        <v>152</v>
      </c>
      <c r="P22" s="7"/>
    </row>
    <row r="23" customFormat="false" ht="61.5" hidden="false" customHeight="true" outlineLevel="0" collapsed="false">
      <c r="A23" s="4" t="n">
        <v>19</v>
      </c>
      <c r="B23" s="4" t="s">
        <v>153</v>
      </c>
      <c r="C23" s="4" t="s">
        <v>154</v>
      </c>
      <c r="D23" s="9" t="s">
        <v>71</v>
      </c>
      <c r="E23" s="6" t="s">
        <v>21</v>
      </c>
      <c r="F23" s="4" t="s">
        <v>155</v>
      </c>
      <c r="G23" s="4" t="s">
        <v>42</v>
      </c>
      <c r="H23" s="4" t="s">
        <v>156</v>
      </c>
      <c r="I23" s="4" t="s">
        <v>23</v>
      </c>
      <c r="J23" s="4" t="s">
        <v>157</v>
      </c>
      <c r="K23" s="4" t="s">
        <v>35</v>
      </c>
      <c r="L23" s="4" t="s">
        <v>158</v>
      </c>
      <c r="M23" s="4" t="s">
        <v>159</v>
      </c>
      <c r="N23" s="4" t="s">
        <v>27</v>
      </c>
      <c r="O23" s="4" t="s">
        <v>160</v>
      </c>
      <c r="P23" s="7"/>
    </row>
    <row r="24" customFormat="false" ht="61.5" hidden="false" customHeight="true" outlineLevel="0" collapsed="false">
      <c r="A24" s="4" t="n">
        <v>20</v>
      </c>
      <c r="B24" s="4" t="s">
        <v>161</v>
      </c>
      <c r="C24" s="4" t="s">
        <v>162</v>
      </c>
      <c r="D24" s="9" t="s">
        <v>71</v>
      </c>
      <c r="E24" s="6" t="s">
        <v>21</v>
      </c>
      <c r="F24" s="4" t="s">
        <v>163</v>
      </c>
      <c r="G24" s="4" t="s">
        <v>42</v>
      </c>
      <c r="H24" s="4" t="s">
        <v>164</v>
      </c>
      <c r="I24" s="4" t="s">
        <v>23</v>
      </c>
      <c r="J24" s="4" t="s">
        <v>165</v>
      </c>
      <c r="K24" s="4" t="s">
        <v>166</v>
      </c>
      <c r="L24" s="4" t="s">
        <v>167</v>
      </c>
      <c r="M24" s="4" t="s">
        <v>168</v>
      </c>
      <c r="N24" s="4" t="s">
        <v>27</v>
      </c>
      <c r="O24" s="4" t="s">
        <v>169</v>
      </c>
      <c r="P24" s="7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23" min="4" style="0" width="5"/>
    <col collapsed="false" customWidth="true" hidden="false" outlineLevel="0" max="24" min="24" style="0" width="38"/>
    <col collapsed="false" customWidth="true" hidden="false" outlineLevel="0" max="25" min="25" style="0" width="28"/>
  </cols>
  <sheetData>
    <row r="1" customFormat="false" ht="27.75" hidden="false" customHeight="true" outlineLevel="0" collapsed="false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48" hidden="false" customHeight="true" outlineLevel="0" collapsed="false">
      <c r="A2" s="2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1.75" hidden="false" customHeight="true" outlineLevel="0" collapsed="false">
      <c r="A3" s="12" t="s">
        <v>172</v>
      </c>
      <c r="B3" s="13" t="s">
        <v>173</v>
      </c>
      <c r="C3" s="14" t="s">
        <v>174</v>
      </c>
      <c r="E3" s="15" t="s">
        <v>175</v>
      </c>
      <c r="F3" s="14" t="s">
        <v>176</v>
      </c>
      <c r="I3" s="16" t="s">
        <v>177</v>
      </c>
      <c r="J3" s="14" t="s">
        <v>178</v>
      </c>
    </row>
    <row r="5" customFormat="false" ht="79.5" hidden="false" customHeight="true" outlineLevel="0" collapsed="false">
      <c r="A5" s="3" t="s">
        <v>179</v>
      </c>
      <c r="B5" s="3" t="s">
        <v>180</v>
      </c>
      <c r="C5" s="3" t="s">
        <v>181</v>
      </c>
      <c r="D5" s="17" t="s">
        <v>182</v>
      </c>
      <c r="E5" s="17" t="s">
        <v>183</v>
      </c>
      <c r="F5" s="17" t="s">
        <v>184</v>
      </c>
      <c r="G5" s="17" t="s">
        <v>185</v>
      </c>
      <c r="H5" s="17" t="s">
        <v>186</v>
      </c>
      <c r="I5" s="17" t="s">
        <v>187</v>
      </c>
      <c r="J5" s="17" t="s">
        <v>188</v>
      </c>
      <c r="K5" s="17" t="s">
        <v>189</v>
      </c>
      <c r="L5" s="17" t="s">
        <v>190</v>
      </c>
      <c r="M5" s="17" t="s">
        <v>191</v>
      </c>
      <c r="N5" s="17" t="s">
        <v>192</v>
      </c>
      <c r="O5" s="17" t="s">
        <v>193</v>
      </c>
      <c r="P5" s="17" t="s">
        <v>194</v>
      </c>
      <c r="Q5" s="17" t="s">
        <v>195</v>
      </c>
      <c r="R5" s="17" t="s">
        <v>196</v>
      </c>
      <c r="S5" s="17" t="s">
        <v>197</v>
      </c>
      <c r="T5" s="17" t="s">
        <v>198</v>
      </c>
      <c r="U5" s="17" t="s">
        <v>199</v>
      </c>
      <c r="V5" s="17" t="s">
        <v>200</v>
      </c>
      <c r="W5" s="17" t="s">
        <v>201</v>
      </c>
      <c r="X5" s="3" t="s">
        <v>202</v>
      </c>
      <c r="Y5" s="3" t="s">
        <v>17</v>
      </c>
    </row>
    <row r="6" customFormat="false" ht="31.5" hidden="false" customHeight="true" outlineLevel="0" collapsed="false">
      <c r="A6" s="18" t="s">
        <v>203</v>
      </c>
      <c r="B6" s="19" t="s">
        <v>204</v>
      </c>
      <c r="C6" s="20" t="s">
        <v>205</v>
      </c>
      <c r="D6" s="21"/>
      <c r="E6" s="13" t="s">
        <v>173</v>
      </c>
      <c r="F6" s="21"/>
      <c r="G6" s="21"/>
      <c r="H6" s="21"/>
      <c r="I6" s="21"/>
      <c r="J6" s="21"/>
      <c r="K6" s="21"/>
      <c r="L6" s="16" t="s">
        <v>177</v>
      </c>
      <c r="M6" s="21"/>
      <c r="N6" s="21"/>
      <c r="O6" s="21"/>
      <c r="P6" s="15" t="s">
        <v>175</v>
      </c>
      <c r="Q6" s="15" t="s">
        <v>175</v>
      </c>
      <c r="R6" s="15" t="s">
        <v>175</v>
      </c>
      <c r="S6" s="15" t="s">
        <v>175</v>
      </c>
      <c r="T6" s="21"/>
      <c r="U6" s="21"/>
      <c r="V6" s="21"/>
      <c r="W6" s="21"/>
      <c r="X6" s="22" t="s">
        <v>206</v>
      </c>
      <c r="Y6" s="7"/>
    </row>
    <row r="7" customFormat="false" ht="31.5" hidden="false" customHeight="true" outlineLevel="0" collapsed="false">
      <c r="A7" s="18" t="s">
        <v>203</v>
      </c>
      <c r="B7" s="19" t="s">
        <v>207</v>
      </c>
      <c r="C7" s="20" t="s">
        <v>208</v>
      </c>
      <c r="D7" s="21"/>
      <c r="E7" s="13" t="s">
        <v>173</v>
      </c>
      <c r="F7" s="21"/>
      <c r="G7" s="21"/>
      <c r="H7" s="21"/>
      <c r="I7" s="21"/>
      <c r="J7" s="21"/>
      <c r="K7" s="21"/>
      <c r="L7" s="16" t="s">
        <v>177</v>
      </c>
      <c r="M7" s="21"/>
      <c r="N7" s="21"/>
      <c r="O7" s="21"/>
      <c r="P7" s="21"/>
      <c r="Q7" s="21"/>
      <c r="R7" s="21"/>
      <c r="S7" s="21"/>
      <c r="T7" s="15" t="s">
        <v>175</v>
      </c>
      <c r="U7" s="21"/>
      <c r="V7" s="21"/>
      <c r="W7" s="21"/>
      <c r="X7" s="22" t="s">
        <v>209</v>
      </c>
      <c r="Y7" s="7"/>
    </row>
    <row r="8" customFormat="false" ht="31.5" hidden="false" customHeight="true" outlineLevel="0" collapsed="false">
      <c r="A8" s="18" t="s">
        <v>203</v>
      </c>
      <c r="B8" s="19" t="s">
        <v>210</v>
      </c>
      <c r="C8" s="20" t="s">
        <v>211</v>
      </c>
      <c r="D8" s="21"/>
      <c r="E8" s="13" t="s">
        <v>173</v>
      </c>
      <c r="F8" s="21"/>
      <c r="G8" s="21"/>
      <c r="H8" s="21"/>
      <c r="I8" s="21"/>
      <c r="J8" s="21"/>
      <c r="K8" s="21"/>
      <c r="L8" s="21"/>
      <c r="M8" s="21"/>
      <c r="N8" s="16" t="s">
        <v>177</v>
      </c>
      <c r="O8" s="13" t="s">
        <v>173</v>
      </c>
      <c r="P8" s="21"/>
      <c r="Q8" s="21"/>
      <c r="R8" s="21"/>
      <c r="S8" s="21"/>
      <c r="T8" s="21"/>
      <c r="U8" s="21"/>
      <c r="V8" s="21"/>
      <c r="W8" s="21"/>
      <c r="X8" s="22" t="s">
        <v>212</v>
      </c>
      <c r="Y8" s="7"/>
    </row>
    <row r="9" customFormat="false" ht="31.5" hidden="false" customHeight="true" outlineLevel="0" collapsed="false">
      <c r="A9" s="18" t="s">
        <v>203</v>
      </c>
      <c r="B9" s="19" t="s">
        <v>213</v>
      </c>
      <c r="C9" s="20" t="s">
        <v>214</v>
      </c>
      <c r="D9" s="21"/>
      <c r="E9" s="13" t="s">
        <v>173</v>
      </c>
      <c r="F9" s="21"/>
      <c r="G9" s="21"/>
      <c r="H9" s="21"/>
      <c r="I9" s="21"/>
      <c r="J9" s="13" t="s">
        <v>173</v>
      </c>
      <c r="K9" s="21"/>
      <c r="L9" s="16" t="s">
        <v>177</v>
      </c>
      <c r="M9" s="21"/>
      <c r="N9" s="21"/>
      <c r="O9" s="21"/>
      <c r="P9" s="15" t="s">
        <v>175</v>
      </c>
      <c r="Q9" s="15" t="s">
        <v>175</v>
      </c>
      <c r="R9" s="21"/>
      <c r="S9" s="15" t="s">
        <v>175</v>
      </c>
      <c r="T9" s="21"/>
      <c r="U9" s="21"/>
      <c r="V9" s="21"/>
      <c r="W9" s="21"/>
      <c r="X9" s="22" t="s">
        <v>215</v>
      </c>
      <c r="Y9" s="7"/>
    </row>
    <row r="10" customFormat="false" ht="31.5" hidden="false" customHeight="true" outlineLevel="0" collapsed="false">
      <c r="A10" s="18" t="s">
        <v>203</v>
      </c>
      <c r="B10" s="19" t="s">
        <v>216</v>
      </c>
      <c r="C10" s="20" t="s">
        <v>217</v>
      </c>
      <c r="D10" s="21"/>
      <c r="E10" s="13" t="s">
        <v>173</v>
      </c>
      <c r="F10" s="21"/>
      <c r="G10" s="21"/>
      <c r="H10" s="21"/>
      <c r="I10" s="21"/>
      <c r="J10" s="21"/>
      <c r="K10" s="13" t="s">
        <v>173</v>
      </c>
      <c r="L10" s="16" t="s">
        <v>177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2" t="s">
        <v>218</v>
      </c>
      <c r="Y10" s="7"/>
    </row>
    <row r="11" customFormat="false" ht="31.5" hidden="false" customHeight="true" outlineLevel="0" collapsed="false">
      <c r="A11" s="18" t="s">
        <v>203</v>
      </c>
      <c r="B11" s="19" t="s">
        <v>219</v>
      </c>
      <c r="C11" s="20" t="s">
        <v>220</v>
      </c>
      <c r="D11" s="21"/>
      <c r="E11" s="21"/>
      <c r="F11" s="21"/>
      <c r="G11" s="21"/>
      <c r="H11" s="13" t="s">
        <v>173</v>
      </c>
      <c r="I11" s="21"/>
      <c r="J11" s="21"/>
      <c r="K11" s="15" t="s">
        <v>175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2" t="s">
        <v>221</v>
      </c>
      <c r="Y11" s="7"/>
    </row>
    <row r="12" customFormat="false" ht="31.5" hidden="false" customHeight="true" outlineLevel="0" collapsed="false">
      <c r="A12" s="18" t="s">
        <v>203</v>
      </c>
      <c r="B12" s="19" t="s">
        <v>222</v>
      </c>
      <c r="C12" s="20" t="s">
        <v>223</v>
      </c>
      <c r="D12" s="21"/>
      <c r="E12" s="21"/>
      <c r="F12" s="21"/>
      <c r="G12" s="21"/>
      <c r="H12" s="13" t="s">
        <v>173</v>
      </c>
      <c r="I12" s="21"/>
      <c r="J12" s="21"/>
      <c r="K12" s="15" t="s">
        <v>175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2" t="s">
        <v>224</v>
      </c>
      <c r="Y12" s="7"/>
    </row>
    <row r="13" customFormat="false" ht="31.5" hidden="false" customHeight="true" outlineLevel="0" collapsed="false">
      <c r="A13" s="18" t="s">
        <v>203</v>
      </c>
      <c r="B13" s="19" t="s">
        <v>225</v>
      </c>
      <c r="C13" s="20" t="s">
        <v>226</v>
      </c>
      <c r="D13" s="21"/>
      <c r="E13" s="16" t="s">
        <v>177</v>
      </c>
      <c r="F13" s="21"/>
      <c r="G13" s="21"/>
      <c r="H13" s="21"/>
      <c r="I13" s="21"/>
      <c r="J13" s="13" t="s">
        <v>173</v>
      </c>
      <c r="K13" s="21"/>
      <c r="L13" s="16" t="s">
        <v>177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2" t="s">
        <v>227</v>
      </c>
      <c r="Y13" s="7"/>
    </row>
    <row r="14" customFormat="false" ht="31.5" hidden="false" customHeight="true" outlineLevel="0" collapsed="false">
      <c r="A14" s="18" t="s">
        <v>203</v>
      </c>
      <c r="B14" s="19" t="s">
        <v>228</v>
      </c>
      <c r="C14" s="20" t="s">
        <v>229</v>
      </c>
      <c r="D14" s="21"/>
      <c r="E14" s="21"/>
      <c r="F14" s="21"/>
      <c r="G14" s="21"/>
      <c r="H14" s="21"/>
      <c r="I14" s="21"/>
      <c r="J14" s="16" t="s">
        <v>177</v>
      </c>
      <c r="K14" s="21"/>
      <c r="L14" s="21"/>
      <c r="M14" s="21"/>
      <c r="N14" s="21"/>
      <c r="O14" s="21"/>
      <c r="P14" s="15" t="s">
        <v>175</v>
      </c>
      <c r="Q14" s="15" t="s">
        <v>175</v>
      </c>
      <c r="R14" s="21"/>
      <c r="S14" s="21"/>
      <c r="T14" s="21"/>
      <c r="U14" s="21"/>
      <c r="V14" s="13" t="s">
        <v>173</v>
      </c>
      <c r="W14" s="21"/>
      <c r="X14" s="22" t="s">
        <v>230</v>
      </c>
      <c r="Y14" s="7"/>
    </row>
    <row r="15" customFormat="false" ht="31.5" hidden="false" customHeight="true" outlineLevel="0" collapsed="false">
      <c r="A15" s="18" t="s">
        <v>203</v>
      </c>
      <c r="B15" s="19" t="s">
        <v>231</v>
      </c>
      <c r="C15" s="20" t="s">
        <v>232</v>
      </c>
      <c r="D15" s="21"/>
      <c r="E15" s="21"/>
      <c r="F15" s="15" t="s">
        <v>175</v>
      </c>
      <c r="G15" s="21"/>
      <c r="H15" s="21"/>
      <c r="I15" s="21"/>
      <c r="J15" s="21"/>
      <c r="K15" s="15" t="s">
        <v>175</v>
      </c>
      <c r="L15" s="21"/>
      <c r="M15" s="21"/>
      <c r="N15" s="15" t="s">
        <v>175</v>
      </c>
      <c r="O15" s="21"/>
      <c r="P15" s="21"/>
      <c r="Q15" s="21"/>
      <c r="R15" s="15" t="s">
        <v>175</v>
      </c>
      <c r="S15" s="21"/>
      <c r="T15" s="15" t="s">
        <v>175</v>
      </c>
      <c r="U15" s="21"/>
      <c r="V15" s="21"/>
      <c r="W15" s="15" t="s">
        <v>175</v>
      </c>
      <c r="X15" s="22" t="s">
        <v>233</v>
      </c>
      <c r="Y15" s="7"/>
    </row>
    <row r="16" customFormat="false" ht="31.5" hidden="false" customHeight="true" outlineLevel="0" collapsed="false">
      <c r="A16" s="18" t="s">
        <v>203</v>
      </c>
      <c r="B16" s="19" t="s">
        <v>234</v>
      </c>
      <c r="C16" s="20" t="s">
        <v>235</v>
      </c>
      <c r="D16" s="21"/>
      <c r="E16" s="21"/>
      <c r="F16" s="21"/>
      <c r="G16" s="21"/>
      <c r="H16" s="21"/>
      <c r="I16" s="21"/>
      <c r="J16" s="13" t="s">
        <v>173</v>
      </c>
      <c r="K16" s="21"/>
      <c r="L16" s="16" t="s">
        <v>177</v>
      </c>
      <c r="M16" s="21"/>
      <c r="N16" s="21"/>
      <c r="O16" s="21"/>
      <c r="P16" s="15" t="s">
        <v>175</v>
      </c>
      <c r="Q16" s="15" t="s">
        <v>175</v>
      </c>
      <c r="R16" s="21"/>
      <c r="S16" s="15" t="s">
        <v>175</v>
      </c>
      <c r="T16" s="21"/>
      <c r="U16" s="21"/>
      <c r="V16" s="21"/>
      <c r="W16" s="21"/>
      <c r="X16" s="22" t="s">
        <v>236</v>
      </c>
      <c r="Y16" s="7"/>
    </row>
    <row r="17" customFormat="false" ht="31.5" hidden="false" customHeight="true" outlineLevel="0" collapsed="false">
      <c r="A17" s="18" t="s">
        <v>203</v>
      </c>
      <c r="B17" s="19" t="s">
        <v>237</v>
      </c>
      <c r="C17" s="20" t="s">
        <v>238</v>
      </c>
      <c r="D17" s="21"/>
      <c r="E17" s="16" t="s">
        <v>177</v>
      </c>
      <c r="F17" s="21"/>
      <c r="G17" s="21"/>
      <c r="H17" s="21"/>
      <c r="I17" s="21"/>
      <c r="J17" s="16" t="s">
        <v>177</v>
      </c>
      <c r="K17" s="21"/>
      <c r="L17" s="21"/>
      <c r="M17" s="21"/>
      <c r="N17" s="15" t="s">
        <v>175</v>
      </c>
      <c r="O17" s="21"/>
      <c r="P17" s="21"/>
      <c r="Q17" s="21"/>
      <c r="R17" s="15" t="s">
        <v>175</v>
      </c>
      <c r="S17" s="21"/>
      <c r="T17" s="21"/>
      <c r="U17" s="21"/>
      <c r="V17" s="21"/>
      <c r="W17" s="21"/>
      <c r="X17" s="22" t="s">
        <v>239</v>
      </c>
      <c r="Y17" s="7"/>
    </row>
    <row r="18" customFormat="false" ht="31.5" hidden="false" customHeight="true" outlineLevel="0" collapsed="false">
      <c r="A18" s="18" t="s">
        <v>203</v>
      </c>
      <c r="B18" s="19" t="s">
        <v>240</v>
      </c>
      <c r="C18" s="20" t="s">
        <v>241</v>
      </c>
      <c r="D18" s="21"/>
      <c r="E18" s="21"/>
      <c r="F18" s="13" t="s">
        <v>173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15" t="s">
        <v>175</v>
      </c>
      <c r="V18" s="21"/>
      <c r="W18" s="21"/>
      <c r="X18" s="22" t="s">
        <v>242</v>
      </c>
      <c r="Y18" s="7"/>
    </row>
    <row r="19" customFormat="false" ht="31.5" hidden="false" customHeight="true" outlineLevel="0" collapsed="false">
      <c r="A19" s="18" t="s">
        <v>203</v>
      </c>
      <c r="B19" s="19" t="s">
        <v>243</v>
      </c>
      <c r="C19" s="20" t="s">
        <v>244</v>
      </c>
      <c r="D19" s="21"/>
      <c r="E19" s="21"/>
      <c r="F19" s="21"/>
      <c r="G19" s="21"/>
      <c r="H19" s="13" t="s">
        <v>173</v>
      </c>
      <c r="I19" s="21"/>
      <c r="J19" s="21"/>
      <c r="K19" s="15" t="s">
        <v>175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2" t="s">
        <v>245</v>
      </c>
      <c r="Y19" s="7"/>
    </row>
    <row r="20" customFormat="false" ht="31.5" hidden="false" customHeight="true" outlineLevel="0" collapsed="false">
      <c r="A20" s="23" t="s">
        <v>246</v>
      </c>
      <c r="B20" s="19" t="s">
        <v>247</v>
      </c>
      <c r="C20" s="20" t="s">
        <v>248</v>
      </c>
      <c r="D20" s="21"/>
      <c r="E20" s="21"/>
      <c r="F20" s="15" t="s">
        <v>175</v>
      </c>
      <c r="G20" s="21"/>
      <c r="H20" s="21"/>
      <c r="I20" s="21"/>
      <c r="J20" s="16" t="s">
        <v>177</v>
      </c>
      <c r="K20" s="21"/>
      <c r="L20" s="13" t="s">
        <v>173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2" t="s">
        <v>249</v>
      </c>
      <c r="Y20" s="7"/>
    </row>
    <row r="21" customFormat="false" ht="31.5" hidden="false" customHeight="true" outlineLevel="0" collapsed="false">
      <c r="A21" s="23" t="s">
        <v>246</v>
      </c>
      <c r="B21" s="19" t="s">
        <v>250</v>
      </c>
      <c r="C21" s="20" t="s">
        <v>251</v>
      </c>
      <c r="D21" s="21"/>
      <c r="E21" s="21"/>
      <c r="F21" s="21"/>
      <c r="G21" s="21"/>
      <c r="H21" s="21"/>
      <c r="I21" s="21"/>
      <c r="J21" s="21"/>
      <c r="K21" s="21"/>
      <c r="L21" s="13" t="s">
        <v>173</v>
      </c>
      <c r="M21" s="21"/>
      <c r="N21" s="15" t="s">
        <v>175</v>
      </c>
      <c r="O21" s="21"/>
      <c r="P21" s="21"/>
      <c r="Q21" s="21"/>
      <c r="R21" s="15" t="s">
        <v>175</v>
      </c>
      <c r="S21" s="21"/>
      <c r="T21" s="21"/>
      <c r="U21" s="21"/>
      <c r="V21" s="21"/>
      <c r="W21" s="21"/>
      <c r="X21" s="22" t="s">
        <v>252</v>
      </c>
      <c r="Y21" s="7"/>
    </row>
    <row r="22" customFormat="false" ht="31.5" hidden="false" customHeight="true" outlineLevel="0" collapsed="false">
      <c r="A22" s="23" t="s">
        <v>246</v>
      </c>
      <c r="B22" s="19" t="s">
        <v>253</v>
      </c>
      <c r="C22" s="20" t="s">
        <v>254</v>
      </c>
      <c r="D22" s="21"/>
      <c r="E22" s="21"/>
      <c r="F22" s="21"/>
      <c r="G22" s="21"/>
      <c r="H22" s="21"/>
      <c r="I22" s="21"/>
      <c r="J22" s="21"/>
      <c r="K22" s="21"/>
      <c r="L22" s="13" t="s">
        <v>173</v>
      </c>
      <c r="M22" s="21"/>
      <c r="N22" s="21"/>
      <c r="O22" s="21"/>
      <c r="P22" s="21"/>
      <c r="Q22" s="21"/>
      <c r="R22" s="15" t="s">
        <v>175</v>
      </c>
      <c r="S22" s="15" t="s">
        <v>175</v>
      </c>
      <c r="T22" s="21"/>
      <c r="U22" s="21"/>
      <c r="V22" s="21"/>
      <c r="W22" s="21"/>
      <c r="X22" s="22" t="s">
        <v>255</v>
      </c>
      <c r="Y22" s="7"/>
    </row>
    <row r="23" customFormat="false" ht="31.5" hidden="false" customHeight="true" outlineLevel="0" collapsed="false">
      <c r="A23" s="23" t="s">
        <v>246</v>
      </c>
      <c r="B23" s="19" t="s">
        <v>256</v>
      </c>
      <c r="C23" s="20" t="s">
        <v>257</v>
      </c>
      <c r="D23" s="21"/>
      <c r="E23" s="21"/>
      <c r="F23" s="21"/>
      <c r="G23" s="21"/>
      <c r="H23" s="21"/>
      <c r="I23" s="21"/>
      <c r="J23" s="21"/>
      <c r="K23" s="21"/>
      <c r="L23" s="16" t="s">
        <v>177</v>
      </c>
      <c r="M23" s="21"/>
      <c r="N23" s="15" t="s">
        <v>175</v>
      </c>
      <c r="O23" s="21"/>
      <c r="P23" s="21"/>
      <c r="Q23" s="21"/>
      <c r="R23" s="15" t="s">
        <v>175</v>
      </c>
      <c r="S23" s="15" t="s">
        <v>175</v>
      </c>
      <c r="T23" s="15" t="s">
        <v>175</v>
      </c>
      <c r="U23" s="21"/>
      <c r="V23" s="21"/>
      <c r="W23" s="15" t="s">
        <v>175</v>
      </c>
      <c r="X23" s="22" t="s">
        <v>258</v>
      </c>
      <c r="Y23" s="7"/>
    </row>
    <row r="24" customFormat="false" ht="31.5" hidden="false" customHeight="true" outlineLevel="0" collapsed="false">
      <c r="A24" s="24" t="s">
        <v>259</v>
      </c>
      <c r="B24" s="19" t="s">
        <v>260</v>
      </c>
      <c r="C24" s="20" t="s">
        <v>261</v>
      </c>
      <c r="D24" s="21"/>
      <c r="E24" s="13" t="s">
        <v>173</v>
      </c>
      <c r="F24" s="21"/>
      <c r="G24" s="21"/>
      <c r="H24" s="21"/>
      <c r="I24" s="21"/>
      <c r="J24" s="13" t="s">
        <v>173</v>
      </c>
      <c r="K24" s="21"/>
      <c r="L24" s="16" t="s">
        <v>177</v>
      </c>
      <c r="M24" s="21"/>
      <c r="N24" s="21"/>
      <c r="O24" s="21"/>
      <c r="P24" s="15" t="s">
        <v>175</v>
      </c>
      <c r="Q24" s="15" t="s">
        <v>175</v>
      </c>
      <c r="R24" s="15" t="s">
        <v>175</v>
      </c>
      <c r="S24" s="15" t="s">
        <v>175</v>
      </c>
      <c r="T24" s="21"/>
      <c r="U24" s="21"/>
      <c r="V24" s="21"/>
      <c r="W24" s="21"/>
      <c r="X24" s="22" t="s">
        <v>262</v>
      </c>
      <c r="Y24" s="7"/>
    </row>
    <row r="25" customFormat="false" ht="31.5" hidden="false" customHeight="true" outlineLevel="0" collapsed="false">
      <c r="A25" s="24" t="s">
        <v>259</v>
      </c>
      <c r="B25" s="19" t="s">
        <v>263</v>
      </c>
      <c r="C25" s="20" t="s">
        <v>264</v>
      </c>
      <c r="D25" s="21"/>
      <c r="E25" s="21"/>
      <c r="F25" s="21"/>
      <c r="G25" s="21"/>
      <c r="H25" s="21"/>
      <c r="I25" s="21"/>
      <c r="J25" s="16" t="s">
        <v>177</v>
      </c>
      <c r="K25" s="21"/>
      <c r="L25" s="21"/>
      <c r="M25" s="13" t="s">
        <v>173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2" t="s">
        <v>85</v>
      </c>
      <c r="Y25" s="7"/>
    </row>
    <row r="26" customFormat="false" ht="31.5" hidden="false" customHeight="true" outlineLevel="0" collapsed="false">
      <c r="A26" s="24" t="s">
        <v>259</v>
      </c>
      <c r="B26" s="19" t="s">
        <v>265</v>
      </c>
      <c r="C26" s="20" t="s">
        <v>266</v>
      </c>
      <c r="D26" s="21"/>
      <c r="E26" s="16" t="s">
        <v>177</v>
      </c>
      <c r="F26" s="21"/>
      <c r="G26" s="21"/>
      <c r="H26" s="21"/>
      <c r="I26" s="21"/>
      <c r="J26" s="21"/>
      <c r="K26" s="21"/>
      <c r="L26" s="16" t="s">
        <v>177</v>
      </c>
      <c r="M26" s="15" t="s">
        <v>175</v>
      </c>
      <c r="N26" s="21"/>
      <c r="O26" s="21"/>
      <c r="P26" s="21"/>
      <c r="Q26" s="21"/>
      <c r="R26" s="15" t="s">
        <v>175</v>
      </c>
      <c r="S26" s="21"/>
      <c r="T26" s="21"/>
      <c r="U26" s="21"/>
      <c r="V26" s="21"/>
      <c r="W26" s="21"/>
      <c r="X26" s="22" t="s">
        <v>267</v>
      </c>
      <c r="Y26" s="7"/>
    </row>
    <row r="27" customFormat="false" ht="31.5" hidden="false" customHeight="true" outlineLevel="0" collapsed="false">
      <c r="A27" s="25" t="s">
        <v>268</v>
      </c>
      <c r="B27" s="19" t="s">
        <v>269</v>
      </c>
      <c r="C27" s="20" t="s">
        <v>270</v>
      </c>
      <c r="D27" s="21"/>
      <c r="E27" s="21"/>
      <c r="F27" s="21"/>
      <c r="G27" s="21"/>
      <c r="H27" s="21"/>
      <c r="I27" s="21"/>
      <c r="J27" s="13" t="s">
        <v>173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2" t="s">
        <v>271</v>
      </c>
      <c r="Y27" s="7"/>
    </row>
    <row r="28" customFormat="false" ht="31.5" hidden="false" customHeight="true" outlineLevel="0" collapsed="false">
      <c r="A28" s="25" t="s">
        <v>268</v>
      </c>
      <c r="B28" s="19" t="s">
        <v>272</v>
      </c>
      <c r="C28" s="20" t="s">
        <v>273</v>
      </c>
      <c r="D28" s="21"/>
      <c r="E28" s="21"/>
      <c r="F28" s="21"/>
      <c r="G28" s="21"/>
      <c r="H28" s="21"/>
      <c r="I28" s="21"/>
      <c r="J28" s="16" t="s">
        <v>177</v>
      </c>
      <c r="K28" s="21"/>
      <c r="L28" s="21"/>
      <c r="M28" s="21"/>
      <c r="N28" s="21"/>
      <c r="O28" s="21"/>
      <c r="P28" s="15" t="s">
        <v>175</v>
      </c>
      <c r="Q28" s="15" t="s">
        <v>175</v>
      </c>
      <c r="R28" s="21"/>
      <c r="S28" s="21"/>
      <c r="T28" s="21"/>
      <c r="U28" s="21"/>
      <c r="V28" s="13" t="s">
        <v>173</v>
      </c>
      <c r="W28" s="21"/>
      <c r="X28" s="22" t="s">
        <v>230</v>
      </c>
      <c r="Y28" s="7"/>
    </row>
    <row r="29" customFormat="false" ht="31.5" hidden="false" customHeight="true" outlineLevel="0" collapsed="false">
      <c r="A29" s="25" t="s">
        <v>268</v>
      </c>
      <c r="B29" s="19" t="s">
        <v>274</v>
      </c>
      <c r="C29" s="20" t="s">
        <v>275</v>
      </c>
      <c r="D29" s="21"/>
      <c r="E29" s="21"/>
      <c r="F29" s="21"/>
      <c r="G29" s="21"/>
      <c r="H29" s="21"/>
      <c r="I29" s="21"/>
      <c r="J29" s="16" t="s">
        <v>177</v>
      </c>
      <c r="K29" s="21"/>
      <c r="L29" s="13" t="s">
        <v>173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2" t="s">
        <v>276</v>
      </c>
      <c r="Y29" s="7"/>
    </row>
    <row r="30" customFormat="false" ht="31.5" hidden="false" customHeight="true" outlineLevel="0" collapsed="false">
      <c r="A30" s="26" t="s">
        <v>277</v>
      </c>
      <c r="B30" s="19" t="s">
        <v>278</v>
      </c>
      <c r="C30" s="20" t="s">
        <v>279</v>
      </c>
      <c r="D30" s="21"/>
      <c r="E30" s="21"/>
      <c r="F30" s="15" t="s">
        <v>175</v>
      </c>
      <c r="G30" s="21"/>
      <c r="H30" s="21"/>
      <c r="I30" s="21"/>
      <c r="J30" s="21"/>
      <c r="K30" s="15" t="s">
        <v>175</v>
      </c>
      <c r="L30" s="21"/>
      <c r="M30" s="21"/>
      <c r="N30" s="15" t="s">
        <v>175</v>
      </c>
      <c r="O30" s="21"/>
      <c r="P30" s="21"/>
      <c r="Q30" s="21"/>
      <c r="R30" s="15" t="s">
        <v>175</v>
      </c>
      <c r="S30" s="21"/>
      <c r="T30" s="15" t="s">
        <v>175</v>
      </c>
      <c r="U30" s="15" t="s">
        <v>175</v>
      </c>
      <c r="V30" s="21"/>
      <c r="W30" s="15" t="s">
        <v>175</v>
      </c>
      <c r="X30" s="22" t="s">
        <v>280</v>
      </c>
      <c r="Y30" s="7"/>
    </row>
    <row r="31" customFormat="false" ht="31.5" hidden="false" customHeight="true" outlineLevel="0" collapsed="false">
      <c r="A31" s="26" t="s">
        <v>277</v>
      </c>
      <c r="B31" s="19" t="s">
        <v>281</v>
      </c>
      <c r="C31" s="20" t="s">
        <v>282</v>
      </c>
      <c r="D31" s="21"/>
      <c r="E31" s="21"/>
      <c r="F31" s="21"/>
      <c r="G31" s="21"/>
      <c r="H31" s="21"/>
      <c r="I31" s="21"/>
      <c r="J31" s="21"/>
      <c r="K31" s="21"/>
      <c r="L31" s="16" t="s">
        <v>177</v>
      </c>
      <c r="M31" s="21"/>
      <c r="N31" s="21"/>
      <c r="O31" s="21"/>
      <c r="P31" s="15" t="s">
        <v>175</v>
      </c>
      <c r="Q31" s="15" t="s">
        <v>175</v>
      </c>
      <c r="R31" s="15" t="s">
        <v>175</v>
      </c>
      <c r="S31" s="21"/>
      <c r="T31" s="15" t="s">
        <v>175</v>
      </c>
      <c r="U31" s="21"/>
      <c r="V31" s="21"/>
      <c r="W31" s="21"/>
      <c r="X31" s="22" t="s">
        <v>283</v>
      </c>
      <c r="Y31" s="7"/>
    </row>
    <row r="32" customFormat="false" ht="31.5" hidden="false" customHeight="true" outlineLevel="0" collapsed="false">
      <c r="A32" s="26" t="s">
        <v>277</v>
      </c>
      <c r="B32" s="19" t="s">
        <v>284</v>
      </c>
      <c r="C32" s="20" t="s">
        <v>285</v>
      </c>
      <c r="D32" s="21"/>
      <c r="E32" s="21"/>
      <c r="F32" s="21"/>
      <c r="G32" s="21"/>
      <c r="H32" s="21"/>
      <c r="I32" s="21"/>
      <c r="J32" s="13" t="s">
        <v>173</v>
      </c>
      <c r="K32" s="21"/>
      <c r="L32" s="16" t="s">
        <v>177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2" t="s">
        <v>286</v>
      </c>
      <c r="Y32" s="7"/>
    </row>
    <row r="33" customFormat="false" ht="31.5" hidden="false" customHeight="true" outlineLevel="0" collapsed="false">
      <c r="A33" s="27" t="s">
        <v>287</v>
      </c>
      <c r="B33" s="19" t="s">
        <v>288</v>
      </c>
      <c r="C33" s="20" t="s">
        <v>289</v>
      </c>
      <c r="D33" s="21"/>
      <c r="E33" s="21"/>
      <c r="F33" s="21"/>
      <c r="G33" s="21"/>
      <c r="H33" s="21"/>
      <c r="I33" s="21"/>
      <c r="J33" s="16" t="s">
        <v>177</v>
      </c>
      <c r="K33" s="21"/>
      <c r="L33" s="21"/>
      <c r="M33" s="21"/>
      <c r="N33" s="21"/>
      <c r="O33" s="21"/>
      <c r="P33" s="15" t="s">
        <v>175</v>
      </c>
      <c r="Q33" s="15" t="s">
        <v>175</v>
      </c>
      <c r="R33" s="21"/>
      <c r="S33" s="21"/>
      <c r="T33" s="21"/>
      <c r="U33" s="21"/>
      <c r="V33" s="13" t="s">
        <v>173</v>
      </c>
      <c r="W33" s="21"/>
      <c r="X33" s="22" t="s">
        <v>290</v>
      </c>
      <c r="Y33" s="7"/>
    </row>
    <row r="34" customFormat="false" ht="31.5" hidden="false" customHeight="true" outlineLevel="0" collapsed="false">
      <c r="A34" s="27" t="s">
        <v>287</v>
      </c>
      <c r="B34" s="19" t="s">
        <v>291</v>
      </c>
      <c r="C34" s="20" t="s">
        <v>292</v>
      </c>
      <c r="D34" s="21"/>
      <c r="E34" s="21"/>
      <c r="F34" s="15" t="s">
        <v>175</v>
      </c>
      <c r="G34" s="21"/>
      <c r="H34" s="21"/>
      <c r="I34" s="21"/>
      <c r="J34" s="21"/>
      <c r="K34" s="15" t="s">
        <v>175</v>
      </c>
      <c r="L34" s="21"/>
      <c r="M34" s="21"/>
      <c r="N34" s="15" t="s">
        <v>175</v>
      </c>
      <c r="O34" s="21"/>
      <c r="P34" s="21"/>
      <c r="Q34" s="21"/>
      <c r="R34" s="15" t="s">
        <v>175</v>
      </c>
      <c r="S34" s="21"/>
      <c r="T34" s="15" t="s">
        <v>175</v>
      </c>
      <c r="U34" s="21"/>
      <c r="V34" s="21"/>
      <c r="W34" s="15" t="s">
        <v>175</v>
      </c>
      <c r="X34" s="22" t="s">
        <v>293</v>
      </c>
      <c r="Y34" s="7"/>
    </row>
    <row r="35" customFormat="false" ht="31.5" hidden="false" customHeight="true" outlineLevel="0" collapsed="false">
      <c r="A35" s="27" t="s">
        <v>287</v>
      </c>
      <c r="B35" s="19" t="s">
        <v>294</v>
      </c>
      <c r="C35" s="20" t="s">
        <v>295</v>
      </c>
      <c r="D35" s="21"/>
      <c r="E35" s="21"/>
      <c r="F35" s="21"/>
      <c r="G35" s="21"/>
      <c r="H35" s="21"/>
      <c r="I35" s="21"/>
      <c r="J35" s="13" t="s">
        <v>173</v>
      </c>
      <c r="K35" s="21"/>
      <c r="L35" s="21"/>
      <c r="M35" s="21"/>
      <c r="N35" s="21"/>
      <c r="O35" s="21"/>
      <c r="P35" s="15" t="s">
        <v>175</v>
      </c>
      <c r="Q35" s="15" t="s">
        <v>175</v>
      </c>
      <c r="R35" s="21"/>
      <c r="S35" s="15" t="s">
        <v>175</v>
      </c>
      <c r="T35" s="21"/>
      <c r="U35" s="21"/>
      <c r="V35" s="21"/>
      <c r="W35" s="21"/>
      <c r="X35" s="22" t="s">
        <v>296</v>
      </c>
      <c r="Y35" s="7"/>
    </row>
    <row r="36" customFormat="false" ht="31.5" hidden="false" customHeight="true" outlineLevel="0" collapsed="false">
      <c r="A36" s="27" t="s">
        <v>287</v>
      </c>
      <c r="B36" s="19" t="s">
        <v>297</v>
      </c>
      <c r="C36" s="20" t="s">
        <v>298</v>
      </c>
      <c r="D36" s="21"/>
      <c r="E36" s="21"/>
      <c r="F36" s="21"/>
      <c r="G36" s="21"/>
      <c r="H36" s="15" t="s">
        <v>175</v>
      </c>
      <c r="I36" s="21"/>
      <c r="J36" s="21"/>
      <c r="K36" s="16" t="s">
        <v>177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2" t="s">
        <v>299</v>
      </c>
      <c r="Y36" s="7"/>
    </row>
    <row r="37" customFormat="false" ht="31.5" hidden="false" customHeight="true" outlineLevel="0" collapsed="false">
      <c r="A37" s="27" t="s">
        <v>287</v>
      </c>
      <c r="B37" s="19" t="s">
        <v>300</v>
      </c>
      <c r="C37" s="20" t="s">
        <v>301</v>
      </c>
      <c r="D37" s="21"/>
      <c r="E37" s="21"/>
      <c r="F37" s="21"/>
      <c r="G37" s="21"/>
      <c r="H37" s="15" t="s">
        <v>175</v>
      </c>
      <c r="I37" s="21"/>
      <c r="J37" s="21"/>
      <c r="K37" s="16" t="s">
        <v>177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2" t="s">
        <v>299</v>
      </c>
      <c r="Y37" s="7"/>
    </row>
    <row r="38" customFormat="false" ht="31.5" hidden="false" customHeight="true" outlineLevel="0" collapsed="false">
      <c r="A38" s="27" t="s">
        <v>287</v>
      </c>
      <c r="B38" s="19" t="s">
        <v>302</v>
      </c>
      <c r="C38" s="20" t="s">
        <v>303</v>
      </c>
      <c r="D38" s="21"/>
      <c r="E38" s="16" t="s">
        <v>177</v>
      </c>
      <c r="F38" s="21"/>
      <c r="G38" s="21"/>
      <c r="H38" s="21"/>
      <c r="I38" s="21"/>
      <c r="J38" s="16" t="s">
        <v>177</v>
      </c>
      <c r="K38" s="21"/>
      <c r="L38" s="16" t="s">
        <v>177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2" t="s">
        <v>304</v>
      </c>
      <c r="Y38" s="7"/>
    </row>
    <row r="39" customFormat="false" ht="31.5" hidden="false" customHeight="true" outlineLevel="0" collapsed="false">
      <c r="A39" s="27" t="s">
        <v>287</v>
      </c>
      <c r="B39" s="19" t="s">
        <v>305</v>
      </c>
      <c r="C39" s="20" t="s">
        <v>306</v>
      </c>
      <c r="D39" s="21"/>
      <c r="E39" s="21"/>
      <c r="F39" s="21"/>
      <c r="G39" s="21"/>
      <c r="H39" s="21"/>
      <c r="I39" s="21"/>
      <c r="J39" s="16" t="s">
        <v>177</v>
      </c>
      <c r="K39" s="21"/>
      <c r="L39" s="21"/>
      <c r="M39" s="21"/>
      <c r="N39" s="21"/>
      <c r="O39" s="21"/>
      <c r="P39" s="15" t="s">
        <v>175</v>
      </c>
      <c r="Q39" s="15" t="s">
        <v>175</v>
      </c>
      <c r="R39" s="21"/>
      <c r="S39" s="21"/>
      <c r="T39" s="21"/>
      <c r="U39" s="21"/>
      <c r="V39" s="15" t="s">
        <v>175</v>
      </c>
      <c r="W39" s="21"/>
      <c r="X39" s="22" t="s">
        <v>307</v>
      </c>
      <c r="Y39" s="7"/>
    </row>
  </sheetData>
  <mergeCells count="2">
    <mergeCell ref="A1:AA1"/>
    <mergeCell ref="A2:A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8"/>
    <col collapsed="false" customWidth="true" hidden="false" outlineLevel="0" max="3" min="3" style="0" width="60"/>
  </cols>
  <sheetData>
    <row r="1" customFormat="false" ht="27.75" hidden="false" customHeight="true" outlineLevel="0" collapsed="false">
      <c r="A1" s="1" t="s">
        <v>308</v>
      </c>
      <c r="B1" s="1"/>
      <c r="C1" s="1"/>
    </row>
    <row r="2" customFormat="false" ht="39.75" hidden="false" customHeight="true" outlineLevel="0" collapsed="false">
      <c r="A2" s="2" t="s">
        <v>309</v>
      </c>
      <c r="B2" s="2"/>
      <c r="C2" s="2"/>
    </row>
    <row r="4" customFormat="false" ht="24" hidden="false" customHeight="true" outlineLevel="0" collapsed="false">
      <c r="A4" s="28" t="s">
        <v>310</v>
      </c>
      <c r="B4" s="28"/>
      <c r="C4" s="28"/>
    </row>
    <row r="5" customFormat="false" ht="24" hidden="false" customHeight="true" outlineLevel="0" collapsed="false">
      <c r="A5" s="29" t="s">
        <v>2</v>
      </c>
      <c r="B5" s="29" t="s">
        <v>311</v>
      </c>
      <c r="C5" s="29" t="s">
        <v>312</v>
      </c>
    </row>
    <row r="6" customFormat="false" ht="43.5" hidden="false" customHeight="true" outlineLevel="0" collapsed="false">
      <c r="A6" s="30" t="n">
        <v>1</v>
      </c>
      <c r="B6" s="4" t="s">
        <v>313</v>
      </c>
      <c r="C6" s="7"/>
    </row>
    <row r="7" customFormat="false" ht="43.5" hidden="false" customHeight="true" outlineLevel="0" collapsed="false">
      <c r="A7" s="30" t="n">
        <v>2</v>
      </c>
      <c r="B7" s="4" t="s">
        <v>314</v>
      </c>
      <c r="C7" s="7"/>
    </row>
    <row r="8" customFormat="false" ht="43.5" hidden="false" customHeight="true" outlineLevel="0" collapsed="false">
      <c r="A8" s="30" t="n">
        <v>3</v>
      </c>
      <c r="B8" s="4" t="s">
        <v>315</v>
      </c>
      <c r="C8" s="7"/>
    </row>
    <row r="9" customFormat="false" ht="43.5" hidden="false" customHeight="true" outlineLevel="0" collapsed="false">
      <c r="A9" s="30" t="n">
        <v>4</v>
      </c>
      <c r="B9" s="4" t="s">
        <v>316</v>
      </c>
      <c r="C9" s="7"/>
    </row>
    <row r="10" customFormat="false" ht="43.5" hidden="false" customHeight="true" outlineLevel="0" collapsed="false">
      <c r="A10" s="30" t="n">
        <v>5</v>
      </c>
      <c r="B10" s="4" t="s">
        <v>317</v>
      </c>
      <c r="C10" s="7"/>
    </row>
    <row r="11" customFormat="false" ht="43.5" hidden="false" customHeight="true" outlineLevel="0" collapsed="false">
      <c r="A11" s="30" t="n">
        <v>6</v>
      </c>
      <c r="B11" s="4" t="s">
        <v>318</v>
      </c>
      <c r="C11" s="7"/>
    </row>
    <row r="12" customFormat="false" ht="43.5" hidden="false" customHeight="true" outlineLevel="0" collapsed="false">
      <c r="A12" s="30" t="n">
        <v>7</v>
      </c>
      <c r="B12" s="4" t="s">
        <v>319</v>
      </c>
      <c r="C12" s="7"/>
    </row>
    <row r="13" customFormat="false" ht="43.5" hidden="false" customHeight="true" outlineLevel="0" collapsed="false">
      <c r="A13" s="30" t="n">
        <v>8</v>
      </c>
      <c r="B13" s="4" t="s">
        <v>320</v>
      </c>
      <c r="C13" s="7"/>
    </row>
    <row r="14" customFormat="false" ht="43.5" hidden="false" customHeight="true" outlineLevel="0" collapsed="false">
      <c r="A14" s="30" t="n">
        <v>9</v>
      </c>
      <c r="B14" s="4" t="s">
        <v>321</v>
      </c>
      <c r="C14" s="7"/>
    </row>
    <row r="15" customFormat="false" ht="43.5" hidden="false" customHeight="true" outlineLevel="0" collapsed="false">
      <c r="A15" s="30" t="n">
        <v>10</v>
      </c>
      <c r="B15" s="4" t="s">
        <v>322</v>
      </c>
      <c r="C15" s="7"/>
    </row>
    <row r="16" customFormat="false" ht="43.5" hidden="false" customHeight="true" outlineLevel="0" collapsed="false">
      <c r="A16" s="30" t="n">
        <v>11</v>
      </c>
      <c r="B16" s="4" t="s">
        <v>323</v>
      </c>
      <c r="C16" s="7"/>
    </row>
    <row r="17" customFormat="false" ht="43.5" hidden="false" customHeight="true" outlineLevel="0" collapsed="false">
      <c r="A17" s="30" t="n">
        <v>12</v>
      </c>
      <c r="B17" s="4" t="s">
        <v>324</v>
      </c>
      <c r="C17" s="7"/>
    </row>
    <row r="19" customFormat="false" ht="24" hidden="false" customHeight="true" outlineLevel="0" collapsed="false">
      <c r="A19" s="28" t="s">
        <v>325</v>
      </c>
      <c r="B19" s="28"/>
      <c r="C19" s="28"/>
    </row>
    <row r="20" customFormat="false" ht="24" hidden="false" customHeight="true" outlineLevel="0" collapsed="false">
      <c r="A20" s="29" t="s">
        <v>2</v>
      </c>
      <c r="B20" s="29" t="s">
        <v>326</v>
      </c>
      <c r="C20" s="29" t="s">
        <v>327</v>
      </c>
    </row>
    <row r="21" customFormat="false" ht="36" hidden="false" customHeight="true" outlineLevel="0" collapsed="false">
      <c r="A21" s="30" t="n">
        <v>1</v>
      </c>
      <c r="B21" s="7"/>
      <c r="C21" s="7"/>
    </row>
    <row r="22" customFormat="false" ht="36" hidden="false" customHeight="true" outlineLevel="0" collapsed="false">
      <c r="A22" s="30" t="n">
        <v>2</v>
      </c>
      <c r="B22" s="7"/>
      <c r="C22" s="7"/>
    </row>
    <row r="23" customFormat="false" ht="36" hidden="false" customHeight="true" outlineLevel="0" collapsed="false">
      <c r="A23" s="30" t="n">
        <v>3</v>
      </c>
      <c r="B23" s="7"/>
      <c r="C23" s="7"/>
    </row>
    <row r="24" customFormat="false" ht="36" hidden="false" customHeight="true" outlineLevel="0" collapsed="false">
      <c r="A24" s="30" t="n">
        <v>4</v>
      </c>
      <c r="B24" s="7"/>
      <c r="C24" s="7"/>
    </row>
    <row r="25" customFormat="false" ht="36" hidden="false" customHeight="true" outlineLevel="0" collapsed="false">
      <c r="A25" s="30" t="n">
        <v>5</v>
      </c>
      <c r="B25" s="7"/>
      <c r="C25" s="7"/>
    </row>
    <row r="26" customFormat="false" ht="36" hidden="false" customHeight="true" outlineLevel="0" collapsed="false">
      <c r="A26" s="30" t="n">
        <v>6</v>
      </c>
      <c r="B26" s="7"/>
      <c r="C26" s="7"/>
    </row>
    <row r="27" customFormat="false" ht="36" hidden="false" customHeight="true" outlineLevel="0" collapsed="false">
      <c r="A27" s="30" t="n">
        <v>7</v>
      </c>
      <c r="B27" s="7"/>
      <c r="C27" s="7"/>
    </row>
    <row r="28" customFormat="false" ht="36" hidden="false" customHeight="true" outlineLevel="0" collapsed="false">
      <c r="A28" s="30" t="n">
        <v>8</v>
      </c>
      <c r="B28" s="7"/>
      <c r="C28" s="7"/>
    </row>
    <row r="29" customFormat="false" ht="36" hidden="false" customHeight="true" outlineLevel="0" collapsed="false">
      <c r="A29" s="30" t="n">
        <v>9</v>
      </c>
      <c r="B29" s="7"/>
      <c r="C29" s="7"/>
    </row>
    <row r="30" customFormat="false" ht="36" hidden="false" customHeight="true" outlineLevel="0" collapsed="false">
      <c r="A30" s="30" t="n">
        <v>10</v>
      </c>
      <c r="B30" s="7"/>
      <c r="C30" s="7"/>
    </row>
    <row r="31" customFormat="false" ht="36" hidden="false" customHeight="true" outlineLevel="0" collapsed="false">
      <c r="A31" s="30" t="n">
        <v>11</v>
      </c>
      <c r="B31" s="7"/>
      <c r="C31" s="7"/>
    </row>
    <row r="32" customFormat="false" ht="36" hidden="false" customHeight="true" outlineLevel="0" collapsed="false">
      <c r="A32" s="30" t="n">
        <v>12</v>
      </c>
      <c r="B32" s="7"/>
      <c r="C32" s="7"/>
    </row>
    <row r="33" customFormat="false" ht="36" hidden="false" customHeight="true" outlineLevel="0" collapsed="false">
      <c r="A33" s="30" t="n">
        <v>13</v>
      </c>
      <c r="B33" s="7"/>
      <c r="C33" s="7"/>
    </row>
    <row r="34" customFormat="false" ht="36" hidden="false" customHeight="true" outlineLevel="0" collapsed="false">
      <c r="A34" s="30" t="n">
        <v>14</v>
      </c>
      <c r="B34" s="7"/>
      <c r="C34" s="7"/>
    </row>
    <row r="35" customFormat="false" ht="36" hidden="false" customHeight="true" outlineLevel="0" collapsed="false">
      <c r="A35" s="30" t="n">
        <v>15</v>
      </c>
      <c r="B35" s="7"/>
      <c r="C35" s="7"/>
    </row>
  </sheetData>
  <mergeCells count="4">
    <mergeCell ref="A1:C1"/>
    <mergeCell ref="A2:C2"/>
    <mergeCell ref="A4:C4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  <col collapsed="false" customWidth="true" hidden="false" outlineLevel="0" max="3" min="3" style="0" width="40"/>
  </cols>
  <sheetData>
    <row r="1" customFormat="false" ht="27.75" hidden="false" customHeight="true" outlineLevel="0" collapsed="false">
      <c r="A1" s="1" t="s">
        <v>328</v>
      </c>
      <c r="B1" s="1"/>
      <c r="C1" s="1"/>
      <c r="D1" s="1"/>
    </row>
    <row r="2" customFormat="false" ht="15" hidden="false" customHeight="true" outlineLevel="0" collapsed="false">
      <c r="A2" s="31" t="s">
        <v>329</v>
      </c>
      <c r="B2" s="31"/>
      <c r="C2" s="31"/>
      <c r="D2" s="31"/>
    </row>
    <row r="4" customFormat="false" ht="30" hidden="false" customHeight="true" outlineLevel="0" collapsed="false">
      <c r="A4" s="32" t="s">
        <v>330</v>
      </c>
      <c r="B4" s="32" t="s">
        <v>331</v>
      </c>
      <c r="C4" s="32" t="s">
        <v>332</v>
      </c>
    </row>
    <row r="5" customFormat="false" ht="30" hidden="false" customHeight="true" outlineLevel="0" collapsed="false">
      <c r="A5" s="14" t="s">
        <v>333</v>
      </c>
      <c r="B5" s="14" t="s">
        <v>334</v>
      </c>
      <c r="C5" s="14" t="s">
        <v>335</v>
      </c>
    </row>
    <row r="6" customFormat="false" ht="30" hidden="false" customHeight="true" outlineLevel="0" collapsed="false">
      <c r="A6" s="14" t="s">
        <v>336</v>
      </c>
      <c r="B6" s="14" t="s">
        <v>337</v>
      </c>
      <c r="C6" s="14" t="s">
        <v>338</v>
      </c>
    </row>
    <row r="7" customFormat="false" ht="30" hidden="false" customHeight="true" outlineLevel="0" collapsed="false">
      <c r="A7" s="14" t="s">
        <v>339</v>
      </c>
      <c r="B7" s="14" t="s">
        <v>340</v>
      </c>
      <c r="C7" s="14" t="s">
        <v>341</v>
      </c>
    </row>
    <row r="8" customFormat="false" ht="30" hidden="false" customHeight="true" outlineLevel="0" collapsed="false">
      <c r="A8" s="14" t="s">
        <v>342</v>
      </c>
      <c r="B8" s="14" t="s">
        <v>343</v>
      </c>
      <c r="C8" s="14" t="s">
        <v>344</v>
      </c>
    </row>
    <row r="9" customFormat="false" ht="9.75" hidden="false" customHeight="true" outlineLevel="0" collapsed="false">
      <c r="A9" s="14"/>
      <c r="B9" s="14"/>
      <c r="C9" s="14"/>
    </row>
    <row r="10" customFormat="false" ht="30" hidden="false" customHeight="true" outlineLevel="0" collapsed="false">
      <c r="A10" s="33" t="s">
        <v>345</v>
      </c>
      <c r="B10" s="33"/>
      <c r="C10" s="33"/>
    </row>
    <row r="11" customFormat="false" ht="30" hidden="false" customHeight="true" outlineLevel="0" collapsed="false">
      <c r="A11" s="14" t="s">
        <v>346</v>
      </c>
      <c r="B11" s="14" t="s">
        <v>347</v>
      </c>
      <c r="C11" s="14"/>
    </row>
    <row r="12" customFormat="false" ht="30" hidden="false" customHeight="true" outlineLevel="0" collapsed="false">
      <c r="A12" s="14" t="s">
        <v>348</v>
      </c>
      <c r="B12" s="14" t="s">
        <v>349</v>
      </c>
      <c r="C12" s="14"/>
    </row>
    <row r="13" customFormat="false" ht="30" hidden="false" customHeight="true" outlineLevel="0" collapsed="false">
      <c r="A13" s="14" t="s">
        <v>350</v>
      </c>
      <c r="B13" s="14" t="s">
        <v>351</v>
      </c>
      <c r="C13" s="14"/>
    </row>
    <row r="14" customFormat="false" ht="30" hidden="false" customHeight="true" outlineLevel="0" collapsed="false">
      <c r="A14" s="14" t="s">
        <v>352</v>
      </c>
      <c r="B14" s="14" t="s">
        <v>353</v>
      </c>
      <c r="C14" s="14"/>
    </row>
    <row r="15" customFormat="false" ht="9.75" hidden="false" customHeight="true" outlineLevel="0" collapsed="false">
      <c r="A15" s="14"/>
      <c r="B15" s="14"/>
      <c r="C15" s="14"/>
    </row>
    <row r="16" customFormat="false" ht="30" hidden="false" customHeight="true" outlineLevel="0" collapsed="false">
      <c r="A16" s="33" t="s">
        <v>354</v>
      </c>
      <c r="B16" s="33"/>
      <c r="C16" s="33"/>
    </row>
    <row r="17" customFormat="false" ht="30" hidden="false" customHeight="true" outlineLevel="0" collapsed="false">
      <c r="A17" s="14" t="s">
        <v>355</v>
      </c>
      <c r="B17" s="14" t="s">
        <v>356</v>
      </c>
      <c r="C17" s="14"/>
    </row>
    <row r="18" customFormat="false" ht="30" hidden="false" customHeight="true" outlineLevel="0" collapsed="false">
      <c r="A18" s="14" t="s">
        <v>357</v>
      </c>
      <c r="B18" s="14" t="s">
        <v>358</v>
      </c>
      <c r="C18" s="14"/>
    </row>
    <row r="19" customFormat="false" ht="30" hidden="false" customHeight="true" outlineLevel="0" collapsed="false">
      <c r="A19" s="14" t="s">
        <v>359</v>
      </c>
      <c r="B19" s="14" t="s">
        <v>360</v>
      </c>
      <c r="C19" s="14"/>
    </row>
    <row r="20" customFormat="false" ht="9.75" hidden="false" customHeight="true" outlineLevel="0" collapsed="false">
      <c r="A20" s="14"/>
      <c r="B20" s="14"/>
      <c r="C20" s="14"/>
    </row>
    <row r="21" customFormat="false" ht="30" hidden="false" customHeight="true" outlineLevel="0" collapsed="false">
      <c r="A21" s="33" t="s">
        <v>361</v>
      </c>
      <c r="B21" s="33"/>
      <c r="C21" s="33"/>
    </row>
    <row r="22" customFormat="false" ht="30" hidden="false" customHeight="true" outlineLevel="0" collapsed="false">
      <c r="A22" s="14" t="s">
        <v>362</v>
      </c>
      <c r="B22" s="14" t="s">
        <v>363</v>
      </c>
      <c r="C22" s="14"/>
    </row>
    <row r="23" customFormat="false" ht="30" hidden="false" customHeight="true" outlineLevel="0" collapsed="false">
      <c r="A23" s="14" t="s">
        <v>364</v>
      </c>
      <c r="B23" s="14" t="s">
        <v>365</v>
      </c>
      <c r="C23" s="14"/>
    </row>
    <row r="24" customFormat="false" ht="30" hidden="false" customHeight="true" outlineLevel="0" collapsed="false">
      <c r="A24" s="14" t="s">
        <v>366</v>
      </c>
      <c r="B24" s="14" t="s">
        <v>367</v>
      </c>
      <c r="C24" s="14"/>
    </row>
    <row r="25" customFormat="false" ht="30" hidden="false" customHeight="true" outlineLevel="0" collapsed="false">
      <c r="A25" s="14" t="s">
        <v>368</v>
      </c>
      <c r="B25" s="14" t="s">
        <v>369</v>
      </c>
      <c r="C25" s="14"/>
    </row>
    <row r="26" customFormat="false" ht="30" hidden="false" customHeight="true" outlineLevel="0" collapsed="false">
      <c r="A26" s="14" t="s">
        <v>370</v>
      </c>
      <c r="B26" s="14" t="s">
        <v>371</v>
      </c>
      <c r="C26" s="14"/>
    </row>
  </sheetData>
  <mergeCells count="5">
    <mergeCell ref="A1:D1"/>
    <mergeCell ref="A2:D2"/>
    <mergeCell ref="A10:C10"/>
    <mergeCell ref="A16:C16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</cols>
  <sheetData>
    <row r="1" customFormat="false" ht="27.75" hidden="false" customHeight="true" outlineLevel="0" collapsed="false">
      <c r="A1" s="1" t="s">
        <v>372</v>
      </c>
      <c r="B1" s="1"/>
      <c r="C1" s="1"/>
    </row>
    <row r="2" customFormat="false" ht="15" hidden="false" customHeight="true" outlineLevel="0" collapsed="false">
      <c r="A2" s="31" t="s">
        <v>373</v>
      </c>
      <c r="B2" s="31"/>
      <c r="C2" s="31"/>
    </row>
    <row r="4" customFormat="false" ht="15" hidden="false" customHeight="false" outlineLevel="0" collapsed="false">
      <c r="A4" s="34" t="s">
        <v>374</v>
      </c>
      <c r="B4" s="34"/>
    </row>
    <row r="5" customFormat="false" ht="15" hidden="false" customHeight="false" outlineLevel="0" collapsed="false">
      <c r="A5" s="35" t="s">
        <v>375</v>
      </c>
      <c r="B5" s="36" t="n">
        <f aca="false">COUNTA(Routes!B5:B24)</f>
        <v>20</v>
      </c>
    </row>
    <row r="6" customFormat="false" ht="15" hidden="false" customHeight="false" outlineLevel="0" collapsed="false">
      <c r="A6" s="35" t="s">
        <v>376</v>
      </c>
      <c r="B6" s="36" t="n">
        <f aca="false">COUNTIF(Routes!D5:D24,"National")</f>
        <v>7</v>
      </c>
    </row>
    <row r="7" customFormat="false" ht="15" hidden="false" customHeight="false" outlineLevel="0" collapsed="false">
      <c r="A7" s="35" t="s">
        <v>377</v>
      </c>
      <c r="B7" s="36" t="n">
        <f aca="false">COUNTIF(Routes!D5:D24,"Regional")</f>
        <v>2</v>
      </c>
    </row>
    <row r="8" customFormat="false" ht="15" hidden="false" customHeight="false" outlineLevel="0" collapsed="false">
      <c r="A8" s="35" t="s">
        <v>378</v>
      </c>
      <c r="B8" s="36" t="n">
        <f aca="false">COUNTIF(Routes!D5:D24,"Topic")</f>
        <v>1</v>
      </c>
    </row>
    <row r="9" customFormat="false" ht="15" hidden="false" customHeight="false" outlineLevel="0" collapsed="false">
      <c r="A9" s="35" t="s">
        <v>379</v>
      </c>
      <c r="B9" s="36" t="n">
        <f aca="false">COUNTIF(Routes!D5:D24,"Team")</f>
        <v>9</v>
      </c>
    </row>
    <row r="10" customFormat="false" ht="15" hidden="false" customHeight="false" outlineLevel="0" collapsed="false">
      <c r="A10" s="35" t="s">
        <v>380</v>
      </c>
      <c r="B10" s="36" t="n">
        <f aca="false">COUNTIF(Routes!D5:D24,"?")</f>
        <v>1</v>
      </c>
    </row>
    <row r="11" customFormat="false" ht="7.5" hidden="false" customHeight="true" outlineLevel="0" collapsed="false"/>
    <row r="12" customFormat="false" ht="15" hidden="false" customHeight="false" outlineLevel="0" collapsed="false">
      <c r="A12" s="34" t="s">
        <v>381</v>
      </c>
      <c r="B12" s="34"/>
    </row>
    <row r="13" customFormat="false" ht="15" hidden="false" customHeight="false" outlineLevel="0" collapsed="false">
      <c r="A13" s="35" t="s">
        <v>382</v>
      </c>
      <c r="B13" s="36" t="n">
        <f aca="false">COUNTIF(Routes!E5:E24,"Group")</f>
        <v>19</v>
      </c>
    </row>
    <row r="14" customFormat="false" ht="15" hidden="false" customHeight="false" outlineLevel="0" collapsed="false">
      <c r="A14" s="35" t="s">
        <v>383</v>
      </c>
      <c r="B14" s="36" t="n">
        <f aca="false">COUNTIF(Routes!E5:E24,"Channel")</f>
        <v>0</v>
      </c>
    </row>
    <row r="15" customFormat="false" ht="7.5" hidden="false" customHeight="true" outlineLevel="0" collapsed="false"/>
    <row r="16" customFormat="false" ht="15" hidden="false" customHeight="false" outlineLevel="0" collapsed="false">
      <c r="A16" s="34" t="s">
        <v>384</v>
      </c>
      <c r="B16" s="34"/>
    </row>
    <row r="17" customFormat="false" ht="15" hidden="false" customHeight="false" outlineLevel="0" collapsed="false">
      <c r="A17" s="35" t="s">
        <v>385</v>
      </c>
      <c r="B17" s="36" t="n">
        <f aca="false">COUNTIF(Routes!K5:K24,"Yes*")</f>
        <v>9</v>
      </c>
    </row>
    <row r="18" customFormat="false" ht="15" hidden="false" customHeight="false" outlineLevel="0" collapsed="false">
      <c r="A18" s="35" t="s">
        <v>386</v>
      </c>
      <c r="B18" s="36" t="n">
        <f aca="false">COUNTIF(Routes!K5:K24,"No*")</f>
        <v>8</v>
      </c>
    </row>
    <row r="19" customFormat="false" ht="7.5" hidden="false" customHeight="true" outlineLevel="0" collapsed="false"/>
    <row r="20" customFormat="false" ht="15" hidden="false" customHeight="false" outlineLevel="0" collapsed="false">
      <c r="A20" s="34" t="s">
        <v>387</v>
      </c>
      <c r="B20" s="34"/>
    </row>
    <row r="21" customFormat="false" ht="15" hidden="false" customHeight="false" outlineLevel="0" collapsed="false">
      <c r="A21" s="35" t="s">
        <v>388</v>
      </c>
      <c r="B21" s="36" t="n">
        <f aca="false">COUNTIF(Matrix!D6:W39,"P")</f>
        <v>27</v>
      </c>
    </row>
    <row r="22" customFormat="false" ht="15" hidden="false" customHeight="false" outlineLevel="0" collapsed="false">
      <c r="A22" s="35" t="s">
        <v>389</v>
      </c>
      <c r="B22" s="36" t="n">
        <f aca="false">COUNTIF(Matrix!D6:W39,"C")</f>
        <v>70</v>
      </c>
    </row>
    <row r="23" customFormat="false" ht="15" hidden="false" customHeight="false" outlineLevel="0" collapsed="false">
      <c r="A23" s="35" t="s">
        <v>390</v>
      </c>
      <c r="B23" s="36" t="n">
        <f aca="false">COUNTIF(Matrix!D6:W39,"O")</f>
        <v>28</v>
      </c>
    </row>
  </sheetData>
  <mergeCells count="6">
    <mergeCell ref="A1:C1"/>
    <mergeCell ref="A2:C2"/>
    <mergeCell ref="A4:B4"/>
    <mergeCell ref="A12:B12"/>
    <mergeCell ref="A16:B16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2026-04-22T16:10:36Z</dcterms:created>
  <dc:creator>openpyxl</dc:creator>
  <dc:description/>
  <dc:language>en-US</dc:language>
  <cp:lastModifiedBy/>
  <dcterms:modified xsi:type="dcterms:W3CDTF">2026-04-22T16:10:37Z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